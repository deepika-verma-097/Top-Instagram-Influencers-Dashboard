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3" yWindow="115" windowWidth="13340" windowHeight="4297" tabRatio="293"/>
  </bookViews>
  <sheets>
    <sheet name="top_insta_influencers_data" sheetId="1" r:id="rId1"/>
  </sheets>
  <calcPr calcId="124519"/>
</workbook>
</file>

<file path=xl/calcChain.xml><?xml version="1.0" encoding="utf-8"?>
<calcChain xmlns="http://schemas.openxmlformats.org/spreadsheetml/2006/main">
  <c r="L2" i="1"/>
  <c r="M2"/>
  <c r="U2" s="1"/>
  <c r="S2" s="1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"/>
  <c r="M3"/>
  <c r="U3" s="1"/>
  <c r="S3" s="1"/>
  <c r="M4"/>
  <c r="U4" s="1"/>
  <c r="S4" s="1"/>
  <c r="M5"/>
  <c r="U5" s="1"/>
  <c r="S5" s="1"/>
  <c r="M6"/>
  <c r="U6" s="1"/>
  <c r="S6" s="1"/>
  <c r="M7"/>
  <c r="U7" s="1"/>
  <c r="S7" s="1"/>
  <c r="M8"/>
  <c r="U8" s="1"/>
  <c r="M9"/>
  <c r="U9" s="1"/>
  <c r="S9" s="1"/>
  <c r="M10"/>
  <c r="U10" s="1"/>
  <c r="S10" s="1"/>
  <c r="M11"/>
  <c r="U11" s="1"/>
  <c r="S11" s="1"/>
  <c r="M12"/>
  <c r="U12" s="1"/>
  <c r="S12" s="1"/>
  <c r="M13"/>
  <c r="U13" s="1"/>
  <c r="S13" s="1"/>
  <c r="M14"/>
  <c r="U14" s="1"/>
  <c r="M15"/>
  <c r="U15" s="1"/>
  <c r="S15" s="1"/>
  <c r="M16"/>
  <c r="U16" s="1"/>
  <c r="S16" s="1"/>
  <c r="M17"/>
  <c r="U17" s="1"/>
  <c r="S17" s="1"/>
  <c r="M18"/>
  <c r="U18" s="1"/>
  <c r="S18" s="1"/>
  <c r="M19"/>
  <c r="U19" s="1"/>
  <c r="S19" s="1"/>
  <c r="M20"/>
  <c r="U20" s="1"/>
  <c r="M21"/>
  <c r="K21" s="1"/>
  <c r="M22"/>
  <c r="U22" s="1"/>
  <c r="S22" s="1"/>
  <c r="M23"/>
  <c r="U23" s="1"/>
  <c r="S23" s="1"/>
  <c r="M24"/>
  <c r="U24" s="1"/>
  <c r="S24" s="1"/>
  <c r="M25"/>
  <c r="U25" s="1"/>
  <c r="S25" s="1"/>
  <c r="M26"/>
  <c r="U26" s="1"/>
  <c r="M27"/>
  <c r="U27" s="1"/>
  <c r="S27" s="1"/>
  <c r="M28"/>
  <c r="U28" s="1"/>
  <c r="S28" s="1"/>
  <c r="M29"/>
  <c r="U29" s="1"/>
  <c r="S29" s="1"/>
  <c r="M30"/>
  <c r="U30" s="1"/>
  <c r="S30" s="1"/>
  <c r="M31"/>
  <c r="U31" s="1"/>
  <c r="S31" s="1"/>
  <c r="M32"/>
  <c r="U32" s="1"/>
  <c r="M33"/>
  <c r="U33" s="1"/>
  <c r="S33" s="1"/>
  <c r="M34"/>
  <c r="U34" s="1"/>
  <c r="S34" s="1"/>
  <c r="M35"/>
  <c r="U35" s="1"/>
  <c r="S35" s="1"/>
  <c r="M36"/>
  <c r="U36" s="1"/>
  <c r="S36" s="1"/>
  <c r="M37"/>
  <c r="U37" s="1"/>
  <c r="S37" s="1"/>
  <c r="M38"/>
  <c r="U38" s="1"/>
  <c r="M39"/>
  <c r="U39" s="1"/>
  <c r="S39" s="1"/>
  <c r="M40"/>
  <c r="U40" s="1"/>
  <c r="S40" s="1"/>
  <c r="M41"/>
  <c r="U41" s="1"/>
  <c r="S41" s="1"/>
  <c r="M42"/>
  <c r="U42" s="1"/>
  <c r="S42" s="1"/>
  <c r="M43"/>
  <c r="U43" s="1"/>
  <c r="S43" s="1"/>
  <c r="M44"/>
  <c r="U44" s="1"/>
  <c r="M45"/>
  <c r="U45" s="1"/>
  <c r="S45" s="1"/>
  <c r="M46"/>
  <c r="U46" s="1"/>
  <c r="S46" s="1"/>
  <c r="M47"/>
  <c r="U47" s="1"/>
  <c r="S47" s="1"/>
  <c r="M48"/>
  <c r="U48" s="1"/>
  <c r="S48" s="1"/>
  <c r="M49"/>
  <c r="U49" s="1"/>
  <c r="S49" s="1"/>
  <c r="M50"/>
  <c r="U50" s="1"/>
  <c r="M51"/>
  <c r="U51" s="1"/>
  <c r="S51" s="1"/>
  <c r="M52"/>
  <c r="U52" s="1"/>
  <c r="S52" s="1"/>
  <c r="M53"/>
  <c r="U53" s="1"/>
  <c r="S53" s="1"/>
  <c r="M54"/>
  <c r="U54" s="1"/>
  <c r="S54" s="1"/>
  <c r="M55"/>
  <c r="U55" s="1"/>
  <c r="S55" s="1"/>
  <c r="M56"/>
  <c r="U56" s="1"/>
  <c r="M57"/>
  <c r="U57" s="1"/>
  <c r="S57" s="1"/>
  <c r="M58"/>
  <c r="U58" s="1"/>
  <c r="S58" s="1"/>
  <c r="M59"/>
  <c r="U59" s="1"/>
  <c r="S59" s="1"/>
  <c r="M60"/>
  <c r="U60" s="1"/>
  <c r="S60" s="1"/>
  <c r="M61"/>
  <c r="U61" s="1"/>
  <c r="S61" s="1"/>
  <c r="M62"/>
  <c r="U62" s="1"/>
  <c r="M63"/>
  <c r="U63" s="1"/>
  <c r="S63" s="1"/>
  <c r="M64"/>
  <c r="U64" s="1"/>
  <c r="S64" s="1"/>
  <c r="M65"/>
  <c r="U65" s="1"/>
  <c r="S65" s="1"/>
  <c r="M66"/>
  <c r="U66" s="1"/>
  <c r="S66" s="1"/>
  <c r="M67"/>
  <c r="U67" s="1"/>
  <c r="S67" s="1"/>
  <c r="M68"/>
  <c r="U68" s="1"/>
  <c r="M69"/>
  <c r="U69" s="1"/>
  <c r="S69" s="1"/>
  <c r="M70"/>
  <c r="U70" s="1"/>
  <c r="S70" s="1"/>
  <c r="M71"/>
  <c r="U71" s="1"/>
  <c r="S71" s="1"/>
  <c r="M72"/>
  <c r="U72" s="1"/>
  <c r="S72" s="1"/>
  <c r="M73"/>
  <c r="U73" s="1"/>
  <c r="S73" s="1"/>
  <c r="M74"/>
  <c r="U74" s="1"/>
  <c r="M75"/>
  <c r="U75" s="1"/>
  <c r="S75" s="1"/>
  <c r="M76"/>
  <c r="U76" s="1"/>
  <c r="S76" s="1"/>
  <c r="M77"/>
  <c r="U77" s="1"/>
  <c r="S77" s="1"/>
  <c r="M78"/>
  <c r="U78" s="1"/>
  <c r="S78" s="1"/>
  <c r="M79"/>
  <c r="U79" s="1"/>
  <c r="S79" s="1"/>
  <c r="M80"/>
  <c r="U80" s="1"/>
  <c r="M81"/>
  <c r="U81" s="1"/>
  <c r="S81" s="1"/>
  <c r="M82"/>
  <c r="U82" s="1"/>
  <c r="S82" s="1"/>
  <c r="M83"/>
  <c r="U83" s="1"/>
  <c r="S83" s="1"/>
  <c r="M84"/>
  <c r="U84" s="1"/>
  <c r="S84" s="1"/>
  <c r="M85"/>
  <c r="U85" s="1"/>
  <c r="S85" s="1"/>
  <c r="M86"/>
  <c r="U86" s="1"/>
  <c r="M87"/>
  <c r="U87" s="1"/>
  <c r="S87" s="1"/>
  <c r="M88"/>
  <c r="U88" s="1"/>
  <c r="S88" s="1"/>
  <c r="M89"/>
  <c r="U89" s="1"/>
  <c r="S89" s="1"/>
  <c r="M90"/>
  <c r="U90" s="1"/>
  <c r="S90" s="1"/>
  <c r="M91"/>
  <c r="U91" s="1"/>
  <c r="S91" s="1"/>
  <c r="M92"/>
  <c r="U92" s="1"/>
  <c r="M93"/>
  <c r="U93" s="1"/>
  <c r="S93" s="1"/>
  <c r="M94"/>
  <c r="U94" s="1"/>
  <c r="S94" s="1"/>
  <c r="M95"/>
  <c r="U95" s="1"/>
  <c r="S95" s="1"/>
  <c r="M96"/>
  <c r="U96" s="1"/>
  <c r="S96" s="1"/>
  <c r="M97"/>
  <c r="U97" s="1"/>
  <c r="S97" s="1"/>
  <c r="M98"/>
  <c r="U98" s="1"/>
  <c r="M99"/>
  <c r="U99" s="1"/>
  <c r="S99" s="1"/>
  <c r="M100"/>
  <c r="U100" s="1"/>
  <c r="S100" s="1"/>
  <c r="M101"/>
  <c r="U101" s="1"/>
  <c r="S101" s="1"/>
  <c r="M102"/>
  <c r="U102" s="1"/>
  <c r="S102" s="1"/>
  <c r="M103"/>
  <c r="U103" s="1"/>
  <c r="S103" s="1"/>
  <c r="M104"/>
  <c r="U104" s="1"/>
  <c r="M105"/>
  <c r="U105" s="1"/>
  <c r="S105" s="1"/>
  <c r="M106"/>
  <c r="U106" s="1"/>
  <c r="S106" s="1"/>
  <c r="M107"/>
  <c r="U107" s="1"/>
  <c r="S107" s="1"/>
  <c r="M108"/>
  <c r="U108" s="1"/>
  <c r="S108" s="1"/>
  <c r="M109"/>
  <c r="U109" s="1"/>
  <c r="S109" s="1"/>
  <c r="M110"/>
  <c r="U110" s="1"/>
  <c r="M111"/>
  <c r="U111" s="1"/>
  <c r="S111" s="1"/>
  <c r="M112"/>
  <c r="U112" s="1"/>
  <c r="S112" s="1"/>
  <c r="M113"/>
  <c r="U113" s="1"/>
  <c r="S113" s="1"/>
  <c r="M114"/>
  <c r="U114" s="1"/>
  <c r="S114" s="1"/>
  <c r="M115"/>
  <c r="U115" s="1"/>
  <c r="S115" s="1"/>
  <c r="M116"/>
  <c r="U116" s="1"/>
  <c r="M117"/>
  <c r="U117" s="1"/>
  <c r="S117" s="1"/>
  <c r="M118"/>
  <c r="U118" s="1"/>
  <c r="S118" s="1"/>
  <c r="M119"/>
  <c r="U119" s="1"/>
  <c r="S119" s="1"/>
  <c r="M120"/>
  <c r="U120" s="1"/>
  <c r="S120" s="1"/>
  <c r="M121"/>
  <c r="U121" s="1"/>
  <c r="S121" s="1"/>
  <c r="M122"/>
  <c r="U122" s="1"/>
  <c r="M123"/>
  <c r="U123" s="1"/>
  <c r="S123" s="1"/>
  <c r="M124"/>
  <c r="U124" s="1"/>
  <c r="S124" s="1"/>
  <c r="M125"/>
  <c r="U125" s="1"/>
  <c r="S125" s="1"/>
  <c r="M126"/>
  <c r="U126" s="1"/>
  <c r="S126" s="1"/>
  <c r="M127"/>
  <c r="U127" s="1"/>
  <c r="S127" s="1"/>
  <c r="M128"/>
  <c r="U128" s="1"/>
  <c r="M129"/>
  <c r="U129" s="1"/>
  <c r="S129" s="1"/>
  <c r="M130"/>
  <c r="U130" s="1"/>
  <c r="S130" s="1"/>
  <c r="M131"/>
  <c r="U131" s="1"/>
  <c r="S131" s="1"/>
  <c r="M132"/>
  <c r="U132" s="1"/>
  <c r="S132" s="1"/>
  <c r="M133"/>
  <c r="U133" s="1"/>
  <c r="S133" s="1"/>
  <c r="M134"/>
  <c r="U134" s="1"/>
  <c r="M135"/>
  <c r="U135" s="1"/>
  <c r="S135" s="1"/>
  <c r="M136"/>
  <c r="U136" s="1"/>
  <c r="S136" s="1"/>
  <c r="M137"/>
  <c r="U137" s="1"/>
  <c r="S137" s="1"/>
  <c r="M138"/>
  <c r="U138" s="1"/>
  <c r="S138" s="1"/>
  <c r="M139"/>
  <c r="U139" s="1"/>
  <c r="S139" s="1"/>
  <c r="M140"/>
  <c r="U140" s="1"/>
  <c r="M141"/>
  <c r="K141" s="1"/>
  <c r="M142"/>
  <c r="U142" s="1"/>
  <c r="S142" s="1"/>
  <c r="M143"/>
  <c r="U143" s="1"/>
  <c r="S143" s="1"/>
  <c r="M144"/>
  <c r="U144" s="1"/>
  <c r="S144" s="1"/>
  <c r="M145"/>
  <c r="U145" s="1"/>
  <c r="S145" s="1"/>
  <c r="M146"/>
  <c r="U146" s="1"/>
  <c r="M147"/>
  <c r="K147" s="1"/>
  <c r="M148"/>
  <c r="U148" s="1"/>
  <c r="S148" s="1"/>
  <c r="M149"/>
  <c r="U149" s="1"/>
  <c r="S149" s="1"/>
  <c r="M150"/>
  <c r="U150" s="1"/>
  <c r="S150" s="1"/>
  <c r="M151"/>
  <c r="U151" s="1"/>
  <c r="S151" s="1"/>
  <c r="M152"/>
  <c r="U152" s="1"/>
  <c r="M153"/>
  <c r="U153" s="1"/>
  <c r="S153" s="1"/>
  <c r="M154"/>
  <c r="U154" s="1"/>
  <c r="S154" s="1"/>
  <c r="M155"/>
  <c r="U155" s="1"/>
  <c r="S155" s="1"/>
  <c r="M156"/>
  <c r="U156" s="1"/>
  <c r="S156" s="1"/>
  <c r="M157"/>
  <c r="U157" s="1"/>
  <c r="S157" s="1"/>
  <c r="M158"/>
  <c r="U158" s="1"/>
  <c r="M159"/>
  <c r="U159" s="1"/>
  <c r="S159" s="1"/>
  <c r="M160"/>
  <c r="U160" s="1"/>
  <c r="S160" s="1"/>
  <c r="M161"/>
  <c r="U161" s="1"/>
  <c r="S161" s="1"/>
  <c r="M162"/>
  <c r="U162" s="1"/>
  <c r="S162" s="1"/>
  <c r="M163"/>
  <c r="U163" s="1"/>
  <c r="S163" s="1"/>
  <c r="M164"/>
  <c r="U164" s="1"/>
  <c r="M165"/>
  <c r="U165" s="1"/>
  <c r="S165" s="1"/>
  <c r="M166"/>
  <c r="U166" s="1"/>
  <c r="S166" s="1"/>
  <c r="M167"/>
  <c r="U167" s="1"/>
  <c r="S167" s="1"/>
  <c r="M168"/>
  <c r="U168" s="1"/>
  <c r="S168" s="1"/>
  <c r="M169"/>
  <c r="U169" s="1"/>
  <c r="S169" s="1"/>
  <c r="M170"/>
  <c r="U170" s="1"/>
  <c r="M171"/>
  <c r="U171" s="1"/>
  <c r="S171" s="1"/>
  <c r="M172"/>
  <c r="U172" s="1"/>
  <c r="S172" s="1"/>
  <c r="M173"/>
  <c r="U173" s="1"/>
  <c r="S173" s="1"/>
  <c r="M174"/>
  <c r="U174" s="1"/>
  <c r="S174" s="1"/>
  <c r="M175"/>
  <c r="U175" s="1"/>
  <c r="S175" s="1"/>
  <c r="M176"/>
  <c r="U176" s="1"/>
  <c r="M177"/>
  <c r="U177" s="1"/>
  <c r="S177" s="1"/>
  <c r="M178"/>
  <c r="U178" s="1"/>
  <c r="S178" s="1"/>
  <c r="M179"/>
  <c r="U179" s="1"/>
  <c r="S179" s="1"/>
  <c r="M180"/>
  <c r="U180" s="1"/>
  <c r="S180" s="1"/>
  <c r="M181"/>
  <c r="U181" s="1"/>
  <c r="S181" s="1"/>
  <c r="M182"/>
  <c r="U182" s="1"/>
  <c r="M183"/>
  <c r="K183" s="1"/>
  <c r="M184"/>
  <c r="U184" s="1"/>
  <c r="S184" s="1"/>
  <c r="M185"/>
  <c r="U185" s="1"/>
  <c r="S185" s="1"/>
  <c r="M186"/>
  <c r="U186" s="1"/>
  <c r="S186" s="1"/>
  <c r="M187"/>
  <c r="U187" s="1"/>
  <c r="S187" s="1"/>
  <c r="M188"/>
  <c r="U188" s="1"/>
  <c r="M189"/>
  <c r="U189" s="1"/>
  <c r="S189" s="1"/>
  <c r="M190"/>
  <c r="U190" s="1"/>
  <c r="S190" s="1"/>
  <c r="M191"/>
  <c r="U191" s="1"/>
  <c r="S191" s="1"/>
  <c r="M192"/>
  <c r="U192" s="1"/>
  <c r="S192" s="1"/>
  <c r="M193"/>
  <c r="U193" s="1"/>
  <c r="S193" s="1"/>
  <c r="M194"/>
  <c r="U194" s="1"/>
  <c r="M195"/>
  <c r="U195" s="1"/>
  <c r="S195" s="1"/>
  <c r="M196"/>
  <c r="U196" s="1"/>
  <c r="S196" s="1"/>
  <c r="M197"/>
  <c r="U197" s="1"/>
  <c r="S197" s="1"/>
  <c r="M198"/>
  <c r="U198" s="1"/>
  <c r="S198" s="1"/>
  <c r="M199"/>
  <c r="U199" s="1"/>
  <c r="S199" s="1"/>
  <c r="M200"/>
  <c r="U200" s="1"/>
  <c r="M201"/>
  <c r="U201" s="1"/>
  <c r="S201" s="1"/>
  <c r="L3"/>
  <c r="L4"/>
  <c r="L5"/>
  <c r="L6"/>
  <c r="K6" s="1"/>
  <c r="L7"/>
  <c r="L8"/>
  <c r="L9"/>
  <c r="L10"/>
  <c r="L11"/>
  <c r="L12"/>
  <c r="K12" s="1"/>
  <c r="L13"/>
  <c r="L14"/>
  <c r="L15"/>
  <c r="L16"/>
  <c r="L17"/>
  <c r="L18"/>
  <c r="K18" s="1"/>
  <c r="L19"/>
  <c r="L20"/>
  <c r="L21"/>
  <c r="L22"/>
  <c r="L23"/>
  <c r="L24"/>
  <c r="K24" s="1"/>
  <c r="L25"/>
  <c r="L26"/>
  <c r="L27"/>
  <c r="L28"/>
  <c r="L29"/>
  <c r="L30"/>
  <c r="K30" s="1"/>
  <c r="L31"/>
  <c r="L32"/>
  <c r="L33"/>
  <c r="L34"/>
  <c r="L35"/>
  <c r="L36"/>
  <c r="K36" s="1"/>
  <c r="L37"/>
  <c r="L38"/>
  <c r="L39"/>
  <c r="L40"/>
  <c r="L41"/>
  <c r="L42"/>
  <c r="K42" s="1"/>
  <c r="L43"/>
  <c r="L44"/>
  <c r="L45"/>
  <c r="L46"/>
  <c r="L47"/>
  <c r="L48"/>
  <c r="K48" s="1"/>
  <c r="L49"/>
  <c r="L50"/>
  <c r="L51"/>
  <c r="L52"/>
  <c r="L53"/>
  <c r="L54"/>
  <c r="K54" s="1"/>
  <c r="L55"/>
  <c r="L56"/>
  <c r="L57"/>
  <c r="L58"/>
  <c r="L59"/>
  <c r="L60"/>
  <c r="K60" s="1"/>
  <c r="L61"/>
  <c r="L62"/>
  <c r="L63"/>
  <c r="L64"/>
  <c r="L65"/>
  <c r="L66"/>
  <c r="K66" s="1"/>
  <c r="L67"/>
  <c r="L68"/>
  <c r="L69"/>
  <c r="L70"/>
  <c r="L71"/>
  <c r="L72"/>
  <c r="K72" s="1"/>
  <c r="L73"/>
  <c r="L74"/>
  <c r="L75"/>
  <c r="L76"/>
  <c r="L77"/>
  <c r="L78"/>
  <c r="K78" s="1"/>
  <c r="L79"/>
  <c r="L80"/>
  <c r="L81"/>
  <c r="L82"/>
  <c r="L83"/>
  <c r="L84"/>
  <c r="K84" s="1"/>
  <c r="L85"/>
  <c r="L86"/>
  <c r="L87"/>
  <c r="L88"/>
  <c r="L89"/>
  <c r="L90"/>
  <c r="K90" s="1"/>
  <c r="L91"/>
  <c r="L92"/>
  <c r="L93"/>
  <c r="L94"/>
  <c r="L95"/>
  <c r="L96"/>
  <c r="K96" s="1"/>
  <c r="L97"/>
  <c r="L98"/>
  <c r="L99"/>
  <c r="L100"/>
  <c r="L101"/>
  <c r="L102"/>
  <c r="K102" s="1"/>
  <c r="L103"/>
  <c r="L104"/>
  <c r="L105"/>
  <c r="L106"/>
  <c r="L107"/>
  <c r="L108"/>
  <c r="K108" s="1"/>
  <c r="L109"/>
  <c r="L110"/>
  <c r="L111"/>
  <c r="L112"/>
  <c r="L113"/>
  <c r="L114"/>
  <c r="K114" s="1"/>
  <c r="L115"/>
  <c r="L116"/>
  <c r="L117"/>
  <c r="L118"/>
  <c r="L119"/>
  <c r="L120"/>
  <c r="K120" s="1"/>
  <c r="L121"/>
  <c r="L122"/>
  <c r="L123"/>
  <c r="L124"/>
  <c r="L125"/>
  <c r="L126"/>
  <c r="K126" s="1"/>
  <c r="L127"/>
  <c r="L128"/>
  <c r="L129"/>
  <c r="L130"/>
  <c r="L131"/>
  <c r="L132"/>
  <c r="K132" s="1"/>
  <c r="L133"/>
  <c r="L134"/>
  <c r="L135"/>
  <c r="L136"/>
  <c r="L137"/>
  <c r="L138"/>
  <c r="K138" s="1"/>
  <c r="L139"/>
  <c r="L140"/>
  <c r="L141"/>
  <c r="L142"/>
  <c r="L143"/>
  <c r="L144"/>
  <c r="K144" s="1"/>
  <c r="L145"/>
  <c r="L146"/>
  <c r="L147"/>
  <c r="L148"/>
  <c r="L149"/>
  <c r="L150"/>
  <c r="K150" s="1"/>
  <c r="L151"/>
  <c r="L152"/>
  <c r="L153"/>
  <c r="L154"/>
  <c r="L155"/>
  <c r="L156"/>
  <c r="K156" s="1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K49" l="1"/>
  <c r="K43"/>
  <c r="K37"/>
  <c r="K31"/>
  <c r="K25"/>
  <c r="K19"/>
  <c r="K13"/>
  <c r="K7"/>
  <c r="S200"/>
  <c r="S194"/>
  <c r="S188"/>
  <c r="S182"/>
  <c r="S176"/>
  <c r="S170"/>
  <c r="S164"/>
  <c r="S158"/>
  <c r="S152"/>
  <c r="S146"/>
  <c r="S140"/>
  <c r="S134"/>
  <c r="S128"/>
  <c r="S122"/>
  <c r="S116"/>
  <c r="S110"/>
  <c r="S104"/>
  <c r="S98"/>
  <c r="S92"/>
  <c r="S86"/>
  <c r="S80"/>
  <c r="S74"/>
  <c r="S68"/>
  <c r="S62"/>
  <c r="S56"/>
  <c r="S50"/>
  <c r="S44"/>
  <c r="S38"/>
  <c r="S32"/>
  <c r="S26"/>
  <c r="S20"/>
  <c r="S14"/>
  <c r="S8"/>
  <c r="K111"/>
  <c r="K3"/>
  <c r="K198"/>
  <c r="K180"/>
  <c r="K175"/>
  <c r="K163"/>
  <c r="K139"/>
  <c r="K127"/>
  <c r="K103"/>
  <c r="K91"/>
  <c r="K61"/>
  <c r="O196"/>
  <c r="O178"/>
  <c r="O160"/>
  <c r="O142"/>
  <c r="O124"/>
  <c r="T175"/>
  <c r="T139"/>
  <c r="T103"/>
  <c r="T67"/>
  <c r="T37"/>
  <c r="T31"/>
  <c r="T7"/>
  <c r="T159"/>
  <c r="T105"/>
  <c r="T64"/>
  <c r="T34"/>
  <c r="U183"/>
  <c r="S183" s="1"/>
  <c r="U147"/>
  <c r="S147" s="1"/>
  <c r="T147" s="1"/>
  <c r="U141"/>
  <c r="U21"/>
  <c r="S21" s="1"/>
  <c r="T171"/>
  <c r="T117"/>
  <c r="T69"/>
  <c r="T45"/>
  <c r="K192"/>
  <c r="O197"/>
  <c r="O191"/>
  <c r="O185"/>
  <c r="O179"/>
  <c r="O173"/>
  <c r="O167"/>
  <c r="O161"/>
  <c r="O155"/>
  <c r="O149"/>
  <c r="O143"/>
  <c r="O137"/>
  <c r="O131"/>
  <c r="O125"/>
  <c r="O119"/>
  <c r="O113"/>
  <c r="O107"/>
  <c r="O101"/>
  <c r="O95"/>
  <c r="O89"/>
  <c r="O83"/>
  <c r="O77"/>
  <c r="O71"/>
  <c r="T177"/>
  <c r="T123"/>
  <c r="T70"/>
  <c r="T46"/>
  <c r="T15"/>
  <c r="K168"/>
  <c r="K193"/>
  <c r="K157"/>
  <c r="K121"/>
  <c r="K79"/>
  <c r="O198"/>
  <c r="O192"/>
  <c r="O186"/>
  <c r="O180"/>
  <c r="O174"/>
  <c r="O168"/>
  <c r="O162"/>
  <c r="O156"/>
  <c r="O150"/>
  <c r="O144"/>
  <c r="O138"/>
  <c r="O132"/>
  <c r="O126"/>
  <c r="O120"/>
  <c r="O114"/>
  <c r="O108"/>
  <c r="O102"/>
  <c r="O96"/>
  <c r="O90"/>
  <c r="O84"/>
  <c r="O78"/>
  <c r="O72"/>
  <c r="O66"/>
  <c r="O60"/>
  <c r="O54"/>
  <c r="O48"/>
  <c r="O42"/>
  <c r="O36"/>
  <c r="O30"/>
  <c r="O24"/>
  <c r="O18"/>
  <c r="O12"/>
  <c r="O6"/>
  <c r="T189"/>
  <c r="T135"/>
  <c r="T81"/>
  <c r="T51"/>
  <c r="T27"/>
  <c r="K162"/>
  <c r="K187"/>
  <c r="K151"/>
  <c r="K115"/>
  <c r="K73"/>
  <c r="T195"/>
  <c r="T87"/>
  <c r="T52"/>
  <c r="T28"/>
  <c r="K186"/>
  <c r="K174"/>
  <c r="K199"/>
  <c r="K181"/>
  <c r="K169"/>
  <c r="K145"/>
  <c r="K133"/>
  <c r="K109"/>
  <c r="K97"/>
  <c r="K85"/>
  <c r="K67"/>
  <c r="K55"/>
  <c r="K177"/>
  <c r="K93"/>
  <c r="K75"/>
  <c r="K57"/>
  <c r="K39"/>
  <c r="T16"/>
  <c r="T153"/>
  <c r="T99"/>
  <c r="T63"/>
  <c r="T33"/>
  <c r="K176"/>
  <c r="K152"/>
  <c r="K128"/>
  <c r="K110"/>
  <c r="K74"/>
  <c r="K50"/>
  <c r="K26"/>
  <c r="O187"/>
  <c r="O163"/>
  <c r="O139"/>
  <c r="O109"/>
  <c r="O85"/>
  <c r="O67"/>
  <c r="O49"/>
  <c r="O37"/>
  <c r="O25"/>
  <c r="O7"/>
  <c r="T12"/>
  <c r="T181"/>
  <c r="T145"/>
  <c r="T109"/>
  <c r="T73"/>
  <c r="K200"/>
  <c r="K182"/>
  <c r="K158"/>
  <c r="K134"/>
  <c r="K104"/>
  <c r="K68"/>
  <c r="K44"/>
  <c r="K20"/>
  <c r="O169"/>
  <c r="O133"/>
  <c r="O115"/>
  <c r="O91"/>
  <c r="O31"/>
  <c r="K195"/>
  <c r="K171"/>
  <c r="K129"/>
  <c r="K63"/>
  <c r="K33"/>
  <c r="T13"/>
  <c r="T187"/>
  <c r="T151"/>
  <c r="T115"/>
  <c r="T79"/>
  <c r="T43"/>
  <c r="T197"/>
  <c r="T191"/>
  <c r="T185"/>
  <c r="T179"/>
  <c r="T173"/>
  <c r="T167"/>
  <c r="T161"/>
  <c r="T155"/>
  <c r="T149"/>
  <c r="T143"/>
  <c r="T137"/>
  <c r="T131"/>
  <c r="T125"/>
  <c r="T119"/>
  <c r="T113"/>
  <c r="T107"/>
  <c r="T101"/>
  <c r="T95"/>
  <c r="T89"/>
  <c r="T83"/>
  <c r="T77"/>
  <c r="T71"/>
  <c r="T65"/>
  <c r="T59"/>
  <c r="T53"/>
  <c r="T47"/>
  <c r="T41"/>
  <c r="T35"/>
  <c r="T29"/>
  <c r="T23"/>
  <c r="T17"/>
  <c r="T11"/>
  <c r="T5"/>
  <c r="K194"/>
  <c r="K170"/>
  <c r="K146"/>
  <c r="K122"/>
  <c r="K98"/>
  <c r="K86"/>
  <c r="K62"/>
  <c r="K38"/>
  <c r="K8"/>
  <c r="O193"/>
  <c r="O175"/>
  <c r="O151"/>
  <c r="O121"/>
  <c r="O97"/>
  <c r="O73"/>
  <c r="O55"/>
  <c r="O13"/>
  <c r="K189"/>
  <c r="K159"/>
  <c r="K123"/>
  <c r="K99"/>
  <c r="K81"/>
  <c r="K51"/>
  <c r="K9"/>
  <c r="K166"/>
  <c r="K148"/>
  <c r="K136"/>
  <c r="K106"/>
  <c r="K94"/>
  <c r="K82"/>
  <c r="K70"/>
  <c r="K64"/>
  <c r="K52"/>
  <c r="K40"/>
  <c r="K28"/>
  <c r="K22"/>
  <c r="K10"/>
  <c r="O201"/>
  <c r="O195"/>
  <c r="O189"/>
  <c r="O183"/>
  <c r="O177"/>
  <c r="O171"/>
  <c r="O165"/>
  <c r="O159"/>
  <c r="O153"/>
  <c r="O147"/>
  <c r="O141"/>
  <c r="O135"/>
  <c r="O129"/>
  <c r="O123"/>
  <c r="O117"/>
  <c r="O111"/>
  <c r="O105"/>
  <c r="O99"/>
  <c r="O93"/>
  <c r="O87"/>
  <c r="O81"/>
  <c r="O75"/>
  <c r="O69"/>
  <c r="O63"/>
  <c r="O57"/>
  <c r="O51"/>
  <c r="O45"/>
  <c r="O39"/>
  <c r="O33"/>
  <c r="O27"/>
  <c r="O21"/>
  <c r="O15"/>
  <c r="O9"/>
  <c r="O3"/>
  <c r="T193"/>
  <c r="T157"/>
  <c r="T121"/>
  <c r="T85"/>
  <c r="T49"/>
  <c r="T198"/>
  <c r="T192"/>
  <c r="T186"/>
  <c r="T180"/>
  <c r="T174"/>
  <c r="T168"/>
  <c r="T162"/>
  <c r="T156"/>
  <c r="T150"/>
  <c r="T144"/>
  <c r="T138"/>
  <c r="T132"/>
  <c r="T126"/>
  <c r="T120"/>
  <c r="T114"/>
  <c r="T108"/>
  <c r="T102"/>
  <c r="T96"/>
  <c r="T90"/>
  <c r="T84"/>
  <c r="T78"/>
  <c r="T72"/>
  <c r="T66"/>
  <c r="T60"/>
  <c r="T54"/>
  <c r="T48"/>
  <c r="T42"/>
  <c r="T36"/>
  <c r="T30"/>
  <c r="T24"/>
  <c r="T18"/>
  <c r="T6"/>
  <c r="K188"/>
  <c r="K164"/>
  <c r="K140"/>
  <c r="K116"/>
  <c r="K92"/>
  <c r="K80"/>
  <c r="K56"/>
  <c r="K32"/>
  <c r="K14"/>
  <c r="O199"/>
  <c r="O181"/>
  <c r="O157"/>
  <c r="O145"/>
  <c r="O127"/>
  <c r="O103"/>
  <c r="O79"/>
  <c r="O61"/>
  <c r="O43"/>
  <c r="O19"/>
  <c r="K201"/>
  <c r="K165"/>
  <c r="K153"/>
  <c r="K135"/>
  <c r="K117"/>
  <c r="K105"/>
  <c r="K87"/>
  <c r="K69"/>
  <c r="K45"/>
  <c r="K27"/>
  <c r="K15"/>
  <c r="K190"/>
  <c r="K184"/>
  <c r="K172"/>
  <c r="K154"/>
  <c r="K130"/>
  <c r="K118"/>
  <c r="K112"/>
  <c r="K100"/>
  <c r="K88"/>
  <c r="K76"/>
  <c r="K58"/>
  <c r="K46"/>
  <c r="K34"/>
  <c r="K16"/>
  <c r="K4"/>
  <c r="T199"/>
  <c r="T163"/>
  <c r="T127"/>
  <c r="T91"/>
  <c r="T55"/>
  <c r="T19"/>
  <c r="T169"/>
  <c r="T133"/>
  <c r="T97"/>
  <c r="T61"/>
  <c r="T25"/>
  <c r="O65"/>
  <c r="O59"/>
  <c r="O53"/>
  <c r="O47"/>
  <c r="O41"/>
  <c r="O35"/>
  <c r="O29"/>
  <c r="O23"/>
  <c r="O17"/>
  <c r="O11"/>
  <c r="O5"/>
  <c r="T200"/>
  <c r="T194"/>
  <c r="T182"/>
  <c r="T176"/>
  <c r="T164"/>
  <c r="T158"/>
  <c r="T146"/>
  <c r="T140"/>
  <c r="T128"/>
  <c r="T122"/>
  <c r="T110"/>
  <c r="T104"/>
  <c r="T92"/>
  <c r="T86"/>
  <c r="T74"/>
  <c r="T68"/>
  <c r="T56"/>
  <c r="T50"/>
  <c r="T38"/>
  <c r="T32"/>
  <c r="T20"/>
  <c r="T14"/>
  <c r="K178"/>
  <c r="K142"/>
  <c r="O190"/>
  <c r="O172"/>
  <c r="O154"/>
  <c r="O136"/>
  <c r="O118"/>
  <c r="O100"/>
  <c r="O82"/>
  <c r="O64"/>
  <c r="O46"/>
  <c r="O28"/>
  <c r="O10"/>
  <c r="T2"/>
  <c r="O200"/>
  <c r="O194"/>
  <c r="O188"/>
  <c r="O182"/>
  <c r="O176"/>
  <c r="O170"/>
  <c r="O164"/>
  <c r="O158"/>
  <c r="O152"/>
  <c r="O146"/>
  <c r="O140"/>
  <c r="O134"/>
  <c r="O128"/>
  <c r="O122"/>
  <c r="O116"/>
  <c r="O110"/>
  <c r="O104"/>
  <c r="O98"/>
  <c r="O92"/>
  <c r="O86"/>
  <c r="O80"/>
  <c r="O74"/>
  <c r="O68"/>
  <c r="O62"/>
  <c r="O56"/>
  <c r="O50"/>
  <c r="O44"/>
  <c r="O38"/>
  <c r="O32"/>
  <c r="O26"/>
  <c r="O20"/>
  <c r="O14"/>
  <c r="O8"/>
  <c r="T196"/>
  <c r="T188"/>
  <c r="T178"/>
  <c r="T170"/>
  <c r="T160"/>
  <c r="T152"/>
  <c r="T142"/>
  <c r="T134"/>
  <c r="T124"/>
  <c r="T116"/>
  <c r="T106"/>
  <c r="T98"/>
  <c r="T88"/>
  <c r="T80"/>
  <c r="T62"/>
  <c r="T44"/>
  <c r="T26"/>
  <c r="K2"/>
  <c r="O184"/>
  <c r="O166"/>
  <c r="O148"/>
  <c r="O130"/>
  <c r="O112"/>
  <c r="O94"/>
  <c r="O76"/>
  <c r="O58"/>
  <c r="O40"/>
  <c r="O22"/>
  <c r="O4"/>
  <c r="T8"/>
  <c r="K197"/>
  <c r="K191"/>
  <c r="K185"/>
  <c r="K179"/>
  <c r="K173"/>
  <c r="K167"/>
  <c r="K161"/>
  <c r="K155"/>
  <c r="K149"/>
  <c r="K143"/>
  <c r="K137"/>
  <c r="K131"/>
  <c r="K125"/>
  <c r="K119"/>
  <c r="K113"/>
  <c r="K107"/>
  <c r="K101"/>
  <c r="K95"/>
  <c r="K89"/>
  <c r="K83"/>
  <c r="K77"/>
  <c r="K71"/>
  <c r="K65"/>
  <c r="K59"/>
  <c r="K53"/>
  <c r="K47"/>
  <c r="K41"/>
  <c r="K35"/>
  <c r="K29"/>
  <c r="K23"/>
  <c r="K17"/>
  <c r="K11"/>
  <c r="K5"/>
  <c r="K196"/>
  <c r="K160"/>
  <c r="K124"/>
  <c r="T9"/>
  <c r="T190"/>
  <c r="T172"/>
  <c r="T154"/>
  <c r="T136"/>
  <c r="T118"/>
  <c r="T100"/>
  <c r="T82"/>
  <c r="T10"/>
  <c r="T4"/>
  <c r="O106"/>
  <c r="O88"/>
  <c r="O70"/>
  <c r="O52"/>
  <c r="O34"/>
  <c r="O16"/>
  <c r="T201"/>
  <c r="T183"/>
  <c r="T165"/>
  <c r="T129"/>
  <c r="T111"/>
  <c r="T93"/>
  <c r="T75"/>
  <c r="T57"/>
  <c r="T39"/>
  <c r="T21"/>
  <c r="T3"/>
  <c r="T184"/>
  <c r="T166"/>
  <c r="T148"/>
  <c r="T130"/>
  <c r="T112"/>
  <c r="T94"/>
  <c r="T76"/>
  <c r="T58"/>
  <c r="T40"/>
  <c r="T22"/>
  <c r="O2"/>
  <c r="S141" l="1"/>
  <c r="T141" s="1"/>
</calcChain>
</file>

<file path=xl/sharedStrings.xml><?xml version="1.0" encoding="utf-8"?>
<sst xmlns="http://schemas.openxmlformats.org/spreadsheetml/2006/main" count="1413" uniqueCount="906">
  <si>
    <t>rank</t>
  </si>
  <si>
    <t>channel_info</t>
  </si>
  <si>
    <t>influence_score</t>
  </si>
  <si>
    <t>posts</t>
  </si>
  <si>
    <t>followers</t>
  </si>
  <si>
    <t>avg_likes</t>
  </si>
  <si>
    <t>60_day_eng_rate</t>
  </si>
  <si>
    <t>new_post_avg_like</t>
  </si>
  <si>
    <t>total_likes</t>
  </si>
  <si>
    <t>country</t>
  </si>
  <si>
    <t>cristiano</t>
  </si>
  <si>
    <t>3.3k</t>
  </si>
  <si>
    <t>475.8m</t>
  </si>
  <si>
    <t>8.7m</t>
  </si>
  <si>
    <t>6.5m</t>
  </si>
  <si>
    <t>29.0b</t>
  </si>
  <si>
    <t>Spain</t>
  </si>
  <si>
    <t>kyliejenner</t>
  </si>
  <si>
    <t>6.9k</t>
  </si>
  <si>
    <t>366.2m</t>
  </si>
  <si>
    <t>8.3m</t>
  </si>
  <si>
    <t>5.9m</t>
  </si>
  <si>
    <t>57.4b</t>
  </si>
  <si>
    <t>United States</t>
  </si>
  <si>
    <t>leomessi</t>
  </si>
  <si>
    <t>0.89k</t>
  </si>
  <si>
    <t>357.3m</t>
  </si>
  <si>
    <t>6.8m</t>
  </si>
  <si>
    <t>4.4m</t>
  </si>
  <si>
    <t>6.0b</t>
  </si>
  <si>
    <t>selenagomez</t>
  </si>
  <si>
    <t>1.8k</t>
  </si>
  <si>
    <t>342.7m</t>
  </si>
  <si>
    <t>6.2m</t>
  </si>
  <si>
    <t>3.3m</t>
  </si>
  <si>
    <t>11.5b</t>
  </si>
  <si>
    <t>therock</t>
  </si>
  <si>
    <t>6.8k</t>
  </si>
  <si>
    <t>334.1m</t>
  </si>
  <si>
    <t>1.9m</t>
  </si>
  <si>
    <t>665.3k</t>
  </si>
  <si>
    <t>12.5b</t>
  </si>
  <si>
    <t>kimkardashian</t>
  </si>
  <si>
    <t>5.6k</t>
  </si>
  <si>
    <t>329.2m</t>
  </si>
  <si>
    <t>3.5m</t>
  </si>
  <si>
    <t>2.9m</t>
  </si>
  <si>
    <t>19.9b</t>
  </si>
  <si>
    <t>arianagrande</t>
  </si>
  <si>
    <t>5.0k</t>
  </si>
  <si>
    <t>327.7m</t>
  </si>
  <si>
    <t>3.7m</t>
  </si>
  <si>
    <t>3.9m</t>
  </si>
  <si>
    <t>18.4b</t>
  </si>
  <si>
    <t>beyonce</t>
  </si>
  <si>
    <t>2.0k</t>
  </si>
  <si>
    <t>272.8m</t>
  </si>
  <si>
    <t>3.6m</t>
  </si>
  <si>
    <t>2.0m</t>
  </si>
  <si>
    <t>7.4b</t>
  </si>
  <si>
    <t>khloekardashian</t>
  </si>
  <si>
    <t>4.1k</t>
  </si>
  <si>
    <t>268.3m</t>
  </si>
  <si>
    <t>2.4m</t>
  </si>
  <si>
    <t>926.9k</t>
  </si>
  <si>
    <t>9.8b</t>
  </si>
  <si>
    <t>justinbieber</t>
  </si>
  <si>
    <t>7.4k</t>
  </si>
  <si>
    <t>254.5m</t>
  </si>
  <si>
    <t>1.5m</t>
  </si>
  <si>
    <t>13.9b</t>
  </si>
  <si>
    <t>Canada</t>
  </si>
  <si>
    <t>kendalljenner</t>
  </si>
  <si>
    <t>0.66k</t>
  </si>
  <si>
    <t>254.0m</t>
  </si>
  <si>
    <t>5.5m</t>
  </si>
  <si>
    <t>5.1m</t>
  </si>
  <si>
    <t>3.7b</t>
  </si>
  <si>
    <t>natgeo</t>
  </si>
  <si>
    <t>10.0k</t>
  </si>
  <si>
    <t>237.0m</t>
  </si>
  <si>
    <t>302.2k</t>
  </si>
  <si>
    <t>159.3k</t>
  </si>
  <si>
    <t>3.0b</t>
  </si>
  <si>
    <t>nike</t>
  </si>
  <si>
    <t>0.95k</t>
  </si>
  <si>
    <t>234.1m</t>
  </si>
  <si>
    <t>329.0k</t>
  </si>
  <si>
    <t>181.8k</t>
  </si>
  <si>
    <t>313.6m</t>
  </si>
  <si>
    <t>taylorswift</t>
  </si>
  <si>
    <t>0.53k</t>
  </si>
  <si>
    <t>222.2m</t>
  </si>
  <si>
    <t>2.3m</t>
  </si>
  <si>
    <t>1.3b</t>
  </si>
  <si>
    <t>jlo</t>
  </si>
  <si>
    <t>3.2k</t>
  </si>
  <si>
    <t>220.4m</t>
  </si>
  <si>
    <t>1.7m</t>
  </si>
  <si>
    <t>1.4m</t>
  </si>
  <si>
    <t>5.3b</t>
  </si>
  <si>
    <t>virat.kohli</t>
  </si>
  <si>
    <t>1.4k</t>
  </si>
  <si>
    <t>211.8m</t>
  </si>
  <si>
    <t>4.9b</t>
  </si>
  <si>
    <t>nickiminaj</t>
  </si>
  <si>
    <t>6.4k</t>
  </si>
  <si>
    <t>201.6m</t>
  </si>
  <si>
    <t>2.1m</t>
  </si>
  <si>
    <t>1.0m</t>
  </si>
  <si>
    <t>13.5b</t>
  </si>
  <si>
    <t>kourtneykardash</t>
  </si>
  <si>
    <t>4.4k</t>
  </si>
  <si>
    <t>195.2m</t>
  </si>
  <si>
    <t>1.8m</t>
  </si>
  <si>
    <t>1.3m</t>
  </si>
  <si>
    <t>7.7b</t>
  </si>
  <si>
    <t>mileycyrus</t>
  </si>
  <si>
    <t>1.2k</t>
  </si>
  <si>
    <t>181.5m</t>
  </si>
  <si>
    <t>913.6k</t>
  </si>
  <si>
    <t>1.6b</t>
  </si>
  <si>
    <t>neymarjr</t>
  </si>
  <si>
    <t>5.3k</t>
  </si>
  <si>
    <t>177.1m</t>
  </si>
  <si>
    <t>2.7m</t>
  </si>
  <si>
    <t>14.1b</t>
  </si>
  <si>
    <t>Brazil</t>
  </si>
  <si>
    <t>katyperry</t>
  </si>
  <si>
    <t>170.3m</t>
  </si>
  <si>
    <t>715.0k</t>
  </si>
  <si>
    <t>265.1k</t>
  </si>
  <si>
    <t>1.5b</t>
  </si>
  <si>
    <t>kevinhart4real</t>
  </si>
  <si>
    <t>8.2k</t>
  </si>
  <si>
    <t>152.0m</t>
  </si>
  <si>
    <t>522.0k</t>
  </si>
  <si>
    <t>115.2k</t>
  </si>
  <si>
    <t>4.3b</t>
  </si>
  <si>
    <t>zendaya</t>
  </si>
  <si>
    <t>3.5k</t>
  </si>
  <si>
    <t>150.7m</t>
  </si>
  <si>
    <t>5.8m</t>
  </si>
  <si>
    <t>4.8m</t>
  </si>
  <si>
    <t>20.6b</t>
  </si>
  <si>
    <t>iamcardib</t>
  </si>
  <si>
    <t>1.6k</t>
  </si>
  <si>
    <t>140.5m</t>
  </si>
  <si>
    <t>3.1m</t>
  </si>
  <si>
    <t>5.0b</t>
  </si>
  <si>
    <t>ddlovato</t>
  </si>
  <si>
    <t>0.08k</t>
  </si>
  <si>
    <t>139.1m</t>
  </si>
  <si>
    <t>1.1m</t>
  </si>
  <si>
    <t>363.4k</t>
  </si>
  <si>
    <t>91.3m</t>
  </si>
  <si>
    <t>badgalriri</t>
  </si>
  <si>
    <t>4.8k</t>
  </si>
  <si>
    <t>135.3m</t>
  </si>
  <si>
    <t>17.9b</t>
  </si>
  <si>
    <t>kingjames</t>
  </si>
  <si>
    <t>2.3k</t>
  </si>
  <si>
    <t>130.9m</t>
  </si>
  <si>
    <t>1.2m</t>
  </si>
  <si>
    <t>theellenshow</t>
  </si>
  <si>
    <t>125.1m</t>
  </si>
  <si>
    <t>420.5k</t>
  </si>
  <si>
    <t>81.7k</t>
  </si>
  <si>
    <t>4.2b</t>
  </si>
  <si>
    <t>realmadrid</t>
  </si>
  <si>
    <t>123.4m</t>
  </si>
  <si>
    <t>996.2k</t>
  </si>
  <si>
    <t>588.3k</t>
  </si>
  <si>
    <t>6.8b</t>
  </si>
  <si>
    <t>champagnepapi</t>
  </si>
  <si>
    <t>5.2k</t>
  </si>
  <si>
    <t>119.6m</t>
  </si>
  <si>
    <t>9.0b</t>
  </si>
  <si>
    <t>Netherlands</t>
  </si>
  <si>
    <t>chrisbrownofficial</t>
  </si>
  <si>
    <t>7.3k</t>
  </si>
  <si>
    <t>118.5m</t>
  </si>
  <si>
    <t>463.2k</t>
  </si>
  <si>
    <t>255.9k</t>
  </si>
  <si>
    <t>3.4b</t>
  </si>
  <si>
    <t>fcbarcelona</t>
  </si>
  <si>
    <t>111.4m</t>
  </si>
  <si>
    <t>706.3k</t>
  </si>
  <si>
    <t>11.6b</t>
  </si>
  <si>
    <t>billieeilish</t>
  </si>
  <si>
    <t>0.69k</t>
  </si>
  <si>
    <t>105.2m</t>
  </si>
  <si>
    <t>8.5m</t>
  </si>
  <si>
    <t>5.2m</t>
  </si>
  <si>
    <t>5.9b</t>
  </si>
  <si>
    <t>dualipa</t>
  </si>
  <si>
    <t>1.3k</t>
  </si>
  <si>
    <t>85.9m</t>
  </si>
  <si>
    <t>2.6b</t>
  </si>
  <si>
    <t>United Kingdom</t>
  </si>
  <si>
    <t>gal_gadot</t>
  </si>
  <si>
    <t>1.7k</t>
  </si>
  <si>
    <t>85.6m</t>
  </si>
  <si>
    <t>586.5k</t>
  </si>
  <si>
    <t>2.3b</t>
  </si>
  <si>
    <t>vindiesel</t>
  </si>
  <si>
    <t>82.3m</t>
  </si>
  <si>
    <t>482.3k</t>
  </si>
  <si>
    <t>2.5b</t>
  </si>
  <si>
    <t>nasa</t>
  </si>
  <si>
    <t>3.6k</t>
  </si>
  <si>
    <t>81.3m</t>
  </si>
  <si>
    <t>priyankachopra</t>
  </si>
  <si>
    <t>81.1m</t>
  </si>
  <si>
    <t>1.6m</t>
  </si>
  <si>
    <t>802.9k</t>
  </si>
  <si>
    <t>5.6b</t>
  </si>
  <si>
    <t>lalalalisa_m</t>
  </si>
  <si>
    <t>0.87k</t>
  </si>
  <si>
    <t>80.9m</t>
  </si>
  <si>
    <t>7.2m</t>
  </si>
  <si>
    <t>5.1b</t>
  </si>
  <si>
    <t>Shakira</t>
  </si>
  <si>
    <t>76.1m</t>
  </si>
  <si>
    <t>975.1k</t>
  </si>
  <si>
    <t>304.7k</t>
  </si>
  <si>
    <t>1.9b</t>
  </si>
  <si>
    <t>snoopdogg</t>
  </si>
  <si>
    <t>75.3m</t>
  </si>
  <si>
    <t>203.7k</t>
  </si>
  <si>
    <t>125.8k</t>
  </si>
  <si>
    <t>2.0b</t>
  </si>
  <si>
    <t>gigihadid</t>
  </si>
  <si>
    <t>2.5m</t>
  </si>
  <si>
    <t>8.2b</t>
  </si>
  <si>
    <t>davidbeckham</t>
  </si>
  <si>
    <t>1.5k</t>
  </si>
  <si>
    <t>74.9m</t>
  </si>
  <si>
    <t>340.9k</t>
  </si>
  <si>
    <t>shraddhakapoor</t>
  </si>
  <si>
    <t>1.9k</t>
  </si>
  <si>
    <t>73.9m</t>
  </si>
  <si>
    <t>859.9k</t>
  </si>
  <si>
    <t>victoriassecret</t>
  </si>
  <si>
    <t>2.9k</t>
  </si>
  <si>
    <t>73.2m</t>
  </si>
  <si>
    <t>147.0k</t>
  </si>
  <si>
    <t>29.8k</t>
  </si>
  <si>
    <t>423.5m</t>
  </si>
  <si>
    <t>k.mbappe</t>
  </si>
  <si>
    <t>72.7m</t>
  </si>
  <si>
    <t>2.8b</t>
  </si>
  <si>
    <t>nehakakkar</t>
  </si>
  <si>
    <t>70.4m</t>
  </si>
  <si>
    <t>370.1k</t>
  </si>
  <si>
    <t>3.5b</t>
  </si>
  <si>
    <t>India</t>
  </si>
  <si>
    <t>nba</t>
  </si>
  <si>
    <t>12.9k</t>
  </si>
  <si>
    <t>70.1m</t>
  </si>
  <si>
    <t>370.8k</t>
  </si>
  <si>
    <t>196.9k</t>
  </si>
  <si>
    <t>4.8b</t>
  </si>
  <si>
    <t>shawnmendes</t>
  </si>
  <si>
    <t>2.5k</t>
  </si>
  <si>
    <t>69.9m</t>
  </si>
  <si>
    <t>8.8b</t>
  </si>
  <si>
    <t>jennierubyjane</t>
  </si>
  <si>
    <t>0.86k</t>
  </si>
  <si>
    <t>68.9m</t>
  </si>
  <si>
    <t>5.7m</t>
  </si>
  <si>
    <t>4.4b</t>
  </si>
  <si>
    <t>narendramodi</t>
  </si>
  <si>
    <t>0.54k</t>
  </si>
  <si>
    <t>aliaabhatt</t>
  </si>
  <si>
    <t>68.7m</t>
  </si>
  <si>
    <t>3.3b</t>
  </si>
  <si>
    <t>deepikapadukone</t>
  </si>
  <si>
    <t>0.26k</t>
  </si>
  <si>
    <t>68.4m</t>
  </si>
  <si>
    <t>419.0m</t>
  </si>
  <si>
    <t>tomholland2013</t>
  </si>
  <si>
    <t>67.7m</t>
  </si>
  <si>
    <t>5.4m</t>
  </si>
  <si>
    <t>7.3m</t>
  </si>
  <si>
    <t>6.6b</t>
  </si>
  <si>
    <t>ronaldinho</t>
  </si>
  <si>
    <t>872.9k</t>
  </si>
  <si>
    <t>325.7k</t>
  </si>
  <si>
    <t>emmawatson</t>
  </si>
  <si>
    <t>0.34k</t>
  </si>
  <si>
    <t>67.3m</t>
  </si>
  <si>
    <t>639.0m</t>
  </si>
  <si>
    <t>bts.bighitofficial</t>
  </si>
  <si>
    <t>66.9m</t>
  </si>
  <si>
    <t>4.1m</t>
  </si>
  <si>
    <t>Uruguay</t>
  </si>
  <si>
    <t>katrinakaif</t>
  </si>
  <si>
    <t>1.0k</t>
  </si>
  <si>
    <t>66.3m</t>
  </si>
  <si>
    <t>1.7b</t>
  </si>
  <si>
    <t>marvel</t>
  </si>
  <si>
    <t>7.0k</t>
  </si>
  <si>
    <t>66.2m</t>
  </si>
  <si>
    <t>332.3k</t>
  </si>
  <si>
    <t>339.0k</t>
  </si>
  <si>
    <t>Turkey</t>
  </si>
  <si>
    <t>justintimberlake</t>
  </si>
  <si>
    <t>0.78k</t>
  </si>
  <si>
    <t>65.9m</t>
  </si>
  <si>
    <t>600.4k</t>
  </si>
  <si>
    <t>189.4k</t>
  </si>
  <si>
    <t>470.7m</t>
  </si>
  <si>
    <t>camila_cabello</t>
  </si>
  <si>
    <t>65.0m</t>
  </si>
  <si>
    <t>5.4b</t>
  </si>
  <si>
    <t>willsmith</t>
  </si>
  <si>
    <t>63.9m</t>
  </si>
  <si>
    <t>raffinagita1717</t>
  </si>
  <si>
    <t>17.5k</t>
  </si>
  <si>
    <t>63.5m</t>
  </si>
  <si>
    <t>386.9k</t>
  </si>
  <si>
    <t>366.6k</t>
  </si>
  <si>
    <t>Indonesia</t>
  </si>
  <si>
    <t>anitta</t>
  </si>
  <si>
    <t>5.1k</t>
  </si>
  <si>
    <t>63.1m</t>
  </si>
  <si>
    <t>855.5k</t>
  </si>
  <si>
    <t>426.2k</t>
  </si>
  <si>
    <t>sooyaaa__</t>
  </si>
  <si>
    <t>0.83k</t>
  </si>
  <si>
    <t>62.9m</t>
  </si>
  <si>
    <t>4.5m</t>
  </si>
  <si>
    <t>3.8b</t>
  </si>
  <si>
    <t>maluma</t>
  </si>
  <si>
    <t>62.8m</t>
  </si>
  <si>
    <t>696.3k</t>
  </si>
  <si>
    <t>Colombia</t>
  </si>
  <si>
    <t>akshaykumar</t>
  </si>
  <si>
    <t>624.9k</t>
  </si>
  <si>
    <t>2.9b</t>
  </si>
  <si>
    <t>jacquelinef143</t>
  </si>
  <si>
    <t>2.4k</t>
  </si>
  <si>
    <t>62.7m</t>
  </si>
  <si>
    <t>718.8k</t>
  </si>
  <si>
    <t>psg</t>
  </si>
  <si>
    <t>61.9m</t>
  </si>
  <si>
    <t>500.5k</t>
  </si>
  <si>
    <t>322.2k</t>
  </si>
  <si>
    <t>France</t>
  </si>
  <si>
    <t>roses_are_rosie</t>
  </si>
  <si>
    <t>0.82k</t>
  </si>
  <si>
    <t>61.8m</t>
  </si>
  <si>
    <t>4.6m</t>
  </si>
  <si>
    <t>6.0m</t>
  </si>
  <si>
    <t>manchesterunited</t>
  </si>
  <si>
    <t>9.9k</t>
  </si>
  <si>
    <t>59.6m</t>
  </si>
  <si>
    <t>381.8k</t>
  </si>
  <si>
    <t>241.6k</t>
  </si>
  <si>
    <t>anushkasharma</t>
  </si>
  <si>
    <t>59.5m</t>
  </si>
  <si>
    <t>2.2b</t>
  </si>
  <si>
    <t>whinderssonnunes</t>
  </si>
  <si>
    <t>2.7k</t>
  </si>
  <si>
    <t>58.7m</t>
  </si>
  <si>
    <t>323.1k</t>
  </si>
  <si>
    <t>9gag</t>
  </si>
  <si>
    <t>58.1m</t>
  </si>
  <si>
    <t>672.6k</t>
  </si>
  <si>
    <t>248.6k</t>
  </si>
  <si>
    <t>6.7b</t>
  </si>
  <si>
    <t>marcelotwelve</t>
  </si>
  <si>
    <t>690.9k</t>
  </si>
  <si>
    <t>448.3k</t>
  </si>
  <si>
    <t>milliebobbybrown</t>
  </si>
  <si>
    <t>0.28k</t>
  </si>
  <si>
    <t>57.6m</t>
  </si>
  <si>
    <t>4.0m</t>
  </si>
  <si>
    <t>5.0m</t>
  </si>
  <si>
    <t>1.1b</t>
  </si>
  <si>
    <t>karimbenzema</t>
  </si>
  <si>
    <t>56.9m</t>
  </si>
  <si>
    <t>878.5k</t>
  </si>
  <si>
    <t>918.9k</t>
  </si>
  <si>
    <t>1.8b</t>
  </si>
  <si>
    <t>chrishemsworth</t>
  </si>
  <si>
    <t>0.88k</t>
  </si>
  <si>
    <t>55.9m</t>
  </si>
  <si>
    <t>2.8m</t>
  </si>
  <si>
    <t>Australia</t>
  </si>
  <si>
    <t>karolg</t>
  </si>
  <si>
    <t>55.6m</t>
  </si>
  <si>
    <t>10.1b</t>
  </si>
  <si>
    <t>paulpogba</t>
  </si>
  <si>
    <t>55.2m</t>
  </si>
  <si>
    <t>462.6k</t>
  </si>
  <si>
    <t>iamzlatanibrahimovic</t>
  </si>
  <si>
    <t>55.1m</t>
  </si>
  <si>
    <t>837.1k</t>
  </si>
  <si>
    <t>leonardodicaprio</t>
  </si>
  <si>
    <t>54.6m</t>
  </si>
  <si>
    <t>395.5k</t>
  </si>
  <si>
    <t>107.6k</t>
  </si>
  <si>
    <t>669.3m</t>
  </si>
  <si>
    <t>juventus</t>
  </si>
  <si>
    <t>54.5m</t>
  </si>
  <si>
    <t>194.8k</t>
  </si>
  <si>
    <t>135.5k</t>
  </si>
  <si>
    <t>zacefron</t>
  </si>
  <si>
    <t>bellahadid</t>
  </si>
  <si>
    <t>54.1m</t>
  </si>
  <si>
    <t>3.6b</t>
  </si>
  <si>
    <t>tatawerneck</t>
  </si>
  <si>
    <t>53.9m</t>
  </si>
  <si>
    <t>959.8k</t>
  </si>
  <si>
    <t>266.5k</t>
  </si>
  <si>
    <t>beingsalmankhan</t>
  </si>
  <si>
    <t>53.5m</t>
  </si>
  <si>
    <t>693.9k</t>
  </si>
  <si>
    <t>robertdowneyjr</t>
  </si>
  <si>
    <t>0.42k</t>
  </si>
  <si>
    <t>53.4m</t>
  </si>
  <si>
    <t>3.0m</t>
  </si>
  <si>
    <t>sunnyleone</t>
  </si>
  <si>
    <t>4.6k</t>
  </si>
  <si>
    <t>764.0k</t>
  </si>
  <si>
    <t>301.3k</t>
  </si>
  <si>
    <t>ladygaga</t>
  </si>
  <si>
    <t>53.2m</t>
  </si>
  <si>
    <t>531.6k</t>
  </si>
  <si>
    <t>dishapatani</t>
  </si>
  <si>
    <t>2.1k</t>
  </si>
  <si>
    <t>53.0m</t>
  </si>
  <si>
    <t>971.7k</t>
  </si>
  <si>
    <t>sergioramos</t>
  </si>
  <si>
    <t>2.2k</t>
  </si>
  <si>
    <t>52.8m</t>
  </si>
  <si>
    <t>557.9k</t>
  </si>
  <si>
    <t>jbalvin</t>
  </si>
  <si>
    <t>878.0k</t>
  </si>
  <si>
    <t>340.5k</t>
  </si>
  <si>
    <t>mosalah</t>
  </si>
  <si>
    <t>0.84k</t>
  </si>
  <si>
    <t>52.5m</t>
  </si>
  <si>
    <t>ayutingting92</t>
  </si>
  <si>
    <t>52.4m</t>
  </si>
  <si>
    <t>147.3k</t>
  </si>
  <si>
    <t>56.3k</t>
  </si>
  <si>
    <t>10.3k</t>
  </si>
  <si>
    <t>51.2m</t>
  </si>
  <si>
    <t>863.2k</t>
  </si>
  <si>
    <t>774.2k</t>
  </si>
  <si>
    <t>8.9b</t>
  </si>
  <si>
    <t>hudabeauty</t>
  </si>
  <si>
    <t>50.8m</t>
  </si>
  <si>
    <t>186.4k</t>
  </si>
  <si>
    <t>16.8k</t>
  </si>
  <si>
    <t>453.6m</t>
  </si>
  <si>
    <t>adele</t>
  </si>
  <si>
    <t>50.7m</t>
  </si>
  <si>
    <t>4.7m</t>
  </si>
  <si>
    <t>michelleobama</t>
  </si>
  <si>
    <t>0.60k</t>
  </si>
  <si>
    <t>700.5k</t>
  </si>
  <si>
    <t>611.2k</t>
  </si>
  <si>
    <t>421.7m</t>
  </si>
  <si>
    <t>kritisanon</t>
  </si>
  <si>
    <t>50.2m</t>
  </si>
  <si>
    <t>897.2k</t>
  </si>
  <si>
    <t>604.4k</t>
  </si>
  <si>
    <t>2.4b</t>
  </si>
  <si>
    <t>jamesrodriguez10</t>
  </si>
  <si>
    <t>1.1k</t>
  </si>
  <si>
    <t>49.9m</t>
  </si>
  <si>
    <t>363.9k</t>
  </si>
  <si>
    <t>krisjenner</t>
  </si>
  <si>
    <t>49.7m</t>
  </si>
  <si>
    <t>356.8k</t>
  </si>
  <si>
    <t>452.9k</t>
  </si>
  <si>
    <t>thv</t>
  </si>
  <si>
    <t>0.06k</t>
  </si>
  <si>
    <t>49.3m</t>
  </si>
  <si>
    <t>15.4m</t>
  </si>
  <si>
    <t>12.6m</t>
  </si>
  <si>
    <t>987.4m</t>
  </si>
  <si>
    <t>lelepons</t>
  </si>
  <si>
    <t>49.2m</t>
  </si>
  <si>
    <t>6.1b</t>
  </si>
  <si>
    <t>charlidamelio</t>
  </si>
  <si>
    <t>0.15k</t>
  </si>
  <si>
    <t>49.1m</t>
  </si>
  <si>
    <t>4.2m</t>
  </si>
  <si>
    <t>654.4m</t>
  </si>
  <si>
    <t>gucci</t>
  </si>
  <si>
    <t>8.9k</t>
  </si>
  <si>
    <t>49.0m</t>
  </si>
  <si>
    <t>115.1k</t>
  </si>
  <si>
    <t>72.4k</t>
  </si>
  <si>
    <t>1.0b</t>
  </si>
  <si>
    <t>Italy</t>
  </si>
  <si>
    <t>prillylatuconsina96</t>
  </si>
  <si>
    <t>6.5k</t>
  </si>
  <si>
    <t>48.9m</t>
  </si>
  <si>
    <t>372.4k</t>
  </si>
  <si>
    <t>131.8k</t>
  </si>
  <si>
    <t>louisvuitton</t>
  </si>
  <si>
    <t>48.7m</t>
  </si>
  <si>
    <t>127.5k</t>
  </si>
  <si>
    <t>40.5k</t>
  </si>
  <si>
    <t>824.0m</t>
  </si>
  <si>
    <t>paulodybala</t>
  </si>
  <si>
    <t>48.3m</t>
  </si>
  <si>
    <t>blackpinkofficial</t>
  </si>
  <si>
    <t>48.2m</t>
  </si>
  <si>
    <t>dovecameron</t>
  </si>
  <si>
    <t>0.17k</t>
  </si>
  <si>
    <t>841.4k</t>
  </si>
  <si>
    <t>283.0m</t>
  </si>
  <si>
    <t>garethbale11</t>
  </si>
  <si>
    <t>0.98k</t>
  </si>
  <si>
    <t>48.1m</t>
  </si>
  <si>
    <t>763.0k</t>
  </si>
  <si>
    <t>681.3k</t>
  </si>
  <si>
    <t>753.1m</t>
  </si>
  <si>
    <t>jokowi</t>
  </si>
  <si>
    <t>47.7m</t>
  </si>
  <si>
    <t>452.6k</t>
  </si>
  <si>
    <t>189.6k</t>
  </si>
  <si>
    <t>nusr_et</t>
  </si>
  <si>
    <t>47.3m</t>
  </si>
  <si>
    <t>728.2k</t>
  </si>
  <si>
    <t>133.0k</t>
  </si>
  <si>
    <t>United Arab Emirates</t>
  </si>
  <si>
    <t>harrystyles</t>
  </si>
  <si>
    <t>0.59k</t>
  </si>
  <si>
    <t>46.9m</t>
  </si>
  <si>
    <t>haileybieber</t>
  </si>
  <si>
    <t>vanessahudgens</t>
  </si>
  <si>
    <t>4.2k</t>
  </si>
  <si>
    <t>46.8m</t>
  </si>
  <si>
    <t>633.9k</t>
  </si>
  <si>
    <t>292.9k</t>
  </si>
  <si>
    <t>2.7b</t>
  </si>
  <si>
    <t>5-Minute Crafts GIRLY</t>
  </si>
  <si>
    <t>46.5m</t>
  </si>
  <si>
    <t>157.0k</t>
  </si>
  <si>
    <t>12.4k</t>
  </si>
  <si>
    <t>zayn</t>
  </si>
  <si>
    <t>0.16k</t>
  </si>
  <si>
    <t>773.5m</t>
  </si>
  <si>
    <t>larissamanoela</t>
  </si>
  <si>
    <t>579.6k</t>
  </si>
  <si>
    <t>259.4k</t>
  </si>
  <si>
    <t>travisscott</t>
  </si>
  <si>
    <t>46.2m</t>
  </si>
  <si>
    <t>2.6m</t>
  </si>
  <si>
    <t>9.6b</t>
  </si>
  <si>
    <t>thenotoriousmma</t>
  </si>
  <si>
    <t>45.9m</t>
  </si>
  <si>
    <t>311.5k</t>
  </si>
  <si>
    <t>daddyyankee</t>
  </si>
  <si>
    <t>0.02k</t>
  </si>
  <si>
    <t>652.5k</t>
  </si>
  <si>
    <t>455.3k</t>
  </si>
  <si>
    <t>18.3m</t>
  </si>
  <si>
    <t>Puerto Rico</t>
  </si>
  <si>
    <t>natgeotravel</t>
  </si>
  <si>
    <t>16.9k</t>
  </si>
  <si>
    <t>45.8m</t>
  </si>
  <si>
    <t>189.9k</t>
  </si>
  <si>
    <t>52.8k</t>
  </si>
  <si>
    <t>3.2b</t>
  </si>
  <si>
    <t>nikefootball</t>
  </si>
  <si>
    <t>45.4m</t>
  </si>
  <si>
    <t>431.2k</t>
  </si>
  <si>
    <t>199.8k</t>
  </si>
  <si>
    <t>784.0m</t>
  </si>
  <si>
    <t>stephencurry30</t>
  </si>
  <si>
    <t>1.2b</t>
  </si>
  <si>
    <t>vancityreynolds</t>
  </si>
  <si>
    <t>0.68k</t>
  </si>
  <si>
    <t>44.8m</t>
  </si>
  <si>
    <t>925.7m</t>
  </si>
  <si>
    <t>maisa</t>
  </si>
  <si>
    <t>44.5m</t>
  </si>
  <si>
    <t>553.0k</t>
  </si>
  <si>
    <t>294.1k</t>
  </si>
  <si>
    <t>820.1m</t>
  </si>
  <si>
    <t>luissuarez9</t>
  </si>
  <si>
    <t>0.97k</t>
  </si>
  <si>
    <t>44.2m</t>
  </si>
  <si>
    <t>801.8k</t>
  </si>
  <si>
    <t>414.8k</t>
  </si>
  <si>
    <t>782.5m</t>
  </si>
  <si>
    <t>gusttavolima</t>
  </si>
  <si>
    <t>4.9k</t>
  </si>
  <si>
    <t>43.9m</t>
  </si>
  <si>
    <t>475.1k</t>
  </si>
  <si>
    <t>303.9k</t>
  </si>
  <si>
    <t>jannatzubair29</t>
  </si>
  <si>
    <t>43.8m</t>
  </si>
  <si>
    <t>944.3k</t>
  </si>
  <si>
    <t>varundvn</t>
  </si>
  <si>
    <t>640.5k</t>
  </si>
  <si>
    <t>hrithikroshan</t>
  </si>
  <si>
    <t>0.58k</t>
  </si>
  <si>
    <t>43.7m</t>
  </si>
  <si>
    <t>949.9m</t>
  </si>
  <si>
    <t>CÃƒÂ´te d'Ivoire</t>
  </si>
  <si>
    <t>nickyjampr</t>
  </si>
  <si>
    <t>43.4m</t>
  </si>
  <si>
    <t>381.6k</t>
  </si>
  <si>
    <t>139.3k</t>
  </si>
  <si>
    <t>buzzfeedtasty</t>
  </si>
  <si>
    <t>43.2m</t>
  </si>
  <si>
    <t>65.1k</t>
  </si>
  <si>
    <t>7.7k</t>
  </si>
  <si>
    <t>580.7m</t>
  </si>
  <si>
    <t>brunamarquezine</t>
  </si>
  <si>
    <t>3.0k</t>
  </si>
  <si>
    <t>43.1m</t>
  </si>
  <si>
    <t>969.7k</t>
  </si>
  <si>
    <t>444.2k</t>
  </si>
  <si>
    <t>caradelevingne</t>
  </si>
  <si>
    <t>42.9m</t>
  </si>
  <si>
    <t>790.2k</t>
  </si>
  <si>
    <t>181.0k</t>
  </si>
  <si>
    <t>kapilsharma</t>
  </si>
  <si>
    <t>42.2m</t>
  </si>
  <si>
    <t>736.4k</t>
  </si>
  <si>
    <t>624.5k</t>
  </si>
  <si>
    <t>710.7m</t>
  </si>
  <si>
    <t>badbunnypr</t>
  </si>
  <si>
    <t>0.01k</t>
  </si>
  <si>
    <t>42.1m</t>
  </si>
  <si>
    <t>67.5m</t>
  </si>
  <si>
    <t>britneyspears</t>
  </si>
  <si>
    <t>513.1k</t>
  </si>
  <si>
    <t>221.7k</t>
  </si>
  <si>
    <t>j.m</t>
  </si>
  <si>
    <t>41.9m</t>
  </si>
  <si>
    <t>14.2m</t>
  </si>
  <si>
    <t>11.0m</t>
  </si>
  <si>
    <t>368.1m</t>
  </si>
  <si>
    <t>mariliamendoncacantora</t>
  </si>
  <si>
    <t>41.8m</t>
  </si>
  <si>
    <t>818.6k</t>
  </si>
  <si>
    <t>norafatehi</t>
  </si>
  <si>
    <t>41.6m</t>
  </si>
  <si>
    <t>727.5k</t>
  </si>
  <si>
    <t>Anguilla</t>
  </si>
  <si>
    <t>theweeknd</t>
  </si>
  <si>
    <t>0.67k</t>
  </si>
  <si>
    <t>41.5m</t>
  </si>
  <si>
    <t>767.0m</t>
  </si>
  <si>
    <t>dior</t>
  </si>
  <si>
    <t>9.7k</t>
  </si>
  <si>
    <t>88.8k</t>
  </si>
  <si>
    <t>63.6k</t>
  </si>
  <si>
    <t>863.0m</t>
  </si>
  <si>
    <t>ranveersingh</t>
  </si>
  <si>
    <t>40.8m</t>
  </si>
  <si>
    <t>299.3k</t>
  </si>
  <si>
    <t>Switzerland</t>
  </si>
  <si>
    <t>marinaruybarbosa</t>
  </si>
  <si>
    <t>40.7m</t>
  </si>
  <si>
    <t>586.4k</t>
  </si>
  <si>
    <t>jenniferaniston</t>
  </si>
  <si>
    <t>0.09k</t>
  </si>
  <si>
    <t>731.0k</t>
  </si>
  <si>
    <t>452.0m</t>
  </si>
  <si>
    <t>addisonraee</t>
  </si>
  <si>
    <t>0.30k</t>
  </si>
  <si>
    <t>40.1m</t>
  </si>
  <si>
    <t>994.4k</t>
  </si>
  <si>
    <t>957.9m</t>
  </si>
  <si>
    <t>andresiniesta8</t>
  </si>
  <si>
    <t>40.0m</t>
  </si>
  <si>
    <t>250.8k</t>
  </si>
  <si>
    <t>161.7k</t>
  </si>
  <si>
    <t>500.5m</t>
  </si>
  <si>
    <t>princessyahrini</t>
  </si>
  <si>
    <t>4.5k</t>
  </si>
  <si>
    <t>118.3k</t>
  </si>
  <si>
    <t>87.4k</t>
  </si>
  <si>
    <t>529.9m</t>
  </si>
  <si>
    <t>liverpoolfc</t>
  </si>
  <si>
    <t>39.9m</t>
  </si>
  <si>
    <t>346.7k</t>
  </si>
  <si>
    <t>162.9k</t>
  </si>
  <si>
    <t>teddysphotos</t>
  </si>
  <si>
    <t>715.5k</t>
  </si>
  <si>
    <t>181.1k</t>
  </si>
  <si>
    <t>worldstar</t>
  </si>
  <si>
    <t>11.6k</t>
  </si>
  <si>
    <t>39.2m</t>
  </si>
  <si>
    <t>157.4k</t>
  </si>
  <si>
    <t>84.4k</t>
  </si>
  <si>
    <t>natashawilona12</t>
  </si>
  <si>
    <t>486.5k</t>
  </si>
  <si>
    <t>227.7k</t>
  </si>
  <si>
    <t>563.9m</t>
  </si>
  <si>
    <t>mahi7781</t>
  </si>
  <si>
    <t>0.10k</t>
  </si>
  <si>
    <t>39.1m</t>
  </si>
  <si>
    <t>439.4m</t>
  </si>
  <si>
    <t>georginagio</t>
  </si>
  <si>
    <t>0.73k</t>
  </si>
  <si>
    <t>2.2m</t>
  </si>
  <si>
    <t>cznburak</t>
  </si>
  <si>
    <t>39.0m</t>
  </si>
  <si>
    <t>815.8k</t>
  </si>
  <si>
    <t>383.3k</t>
  </si>
  <si>
    <t>1.4b</t>
  </si>
  <si>
    <t>chrissyteigen</t>
  </si>
  <si>
    <t>38.9m</t>
  </si>
  <si>
    <t>623.1k</t>
  </si>
  <si>
    <t>162.1k</t>
  </si>
  <si>
    <t>ruben_onsu</t>
  </si>
  <si>
    <t>13.4k</t>
  </si>
  <si>
    <t>38.8m</t>
  </si>
  <si>
    <t>49.1k</t>
  </si>
  <si>
    <t>wizkhalifa</t>
  </si>
  <si>
    <t>0.50k</t>
  </si>
  <si>
    <t>38.7m</t>
  </si>
  <si>
    <t>398.7k</t>
  </si>
  <si>
    <t>115.7k</t>
  </si>
  <si>
    <t>199.8m</t>
  </si>
  <si>
    <t>hm</t>
  </si>
  <si>
    <t>38.5m</t>
  </si>
  <si>
    <t>88.4k</t>
  </si>
  <si>
    <t>22.4k</t>
  </si>
  <si>
    <t>644.1m</t>
  </si>
  <si>
    <t>Sweden</t>
  </si>
  <si>
    <t>anushkasen0408</t>
  </si>
  <si>
    <t>38.3m</t>
  </si>
  <si>
    <t>695.4k</t>
  </si>
  <si>
    <t>658.3k</t>
  </si>
  <si>
    <t>prattprattpratt</t>
  </si>
  <si>
    <t>813.5k</t>
  </si>
  <si>
    <t>363.8k</t>
  </si>
  <si>
    <t>594.7m</t>
  </si>
  <si>
    <t>marvelstudios</t>
  </si>
  <si>
    <t>38.1m</t>
  </si>
  <si>
    <t>594.2k</t>
  </si>
  <si>
    <t>555.9k</t>
  </si>
  <si>
    <t>wesleysafadao</t>
  </si>
  <si>
    <t>37.4m</t>
  </si>
  <si>
    <t>256.1k</t>
  </si>
  <si>
    <t>parineetichopra</t>
  </si>
  <si>
    <t>505.7k</t>
  </si>
  <si>
    <t>246.9k</t>
  </si>
  <si>
    <t>672.1m</t>
  </si>
  <si>
    <t>rkive</t>
  </si>
  <si>
    <t>0.11k</t>
  </si>
  <si>
    <t>37.0m</t>
  </si>
  <si>
    <t>10.9m</t>
  </si>
  <si>
    <t>NaN%</t>
  </si>
  <si>
    <t>laudyacynthiabella</t>
  </si>
  <si>
    <t>0.38k</t>
  </si>
  <si>
    <t>36.9m</t>
  </si>
  <si>
    <t>172.8k</t>
  </si>
  <si>
    <t>43.4k</t>
  </si>
  <si>
    <t>66.7m</t>
  </si>
  <si>
    <t>antogriezmann</t>
  </si>
  <si>
    <t>36.5m</t>
  </si>
  <si>
    <t>203.6k</t>
  </si>
  <si>
    <t>955.4m</t>
  </si>
  <si>
    <t>gisel_la</t>
  </si>
  <si>
    <t>150.5k</t>
  </si>
  <si>
    <t>33.4k</t>
  </si>
  <si>
    <t>eminem</t>
  </si>
  <si>
    <t>36.4m</t>
  </si>
  <si>
    <t>962.7k</t>
  </si>
  <si>
    <t>730.1m</t>
  </si>
  <si>
    <t>mercedesbenz</t>
  </si>
  <si>
    <t>36.0m</t>
  </si>
  <si>
    <t>197.9k</t>
  </si>
  <si>
    <t>64.6k</t>
  </si>
  <si>
    <t>British Virgin Islands</t>
  </si>
  <si>
    <t>colesprouse</t>
  </si>
  <si>
    <t>35.9m</t>
  </si>
  <si>
    <t>834.5k</t>
  </si>
  <si>
    <t>nattinatasha</t>
  </si>
  <si>
    <t>0.03k</t>
  </si>
  <si>
    <t>518.1k</t>
  </si>
  <si>
    <t>285.9k</t>
  </si>
  <si>
    <t>18.7m</t>
  </si>
  <si>
    <t>Czech Republic</t>
  </si>
  <si>
    <t>shahidkapoor</t>
  </si>
  <si>
    <t>35.6m</t>
  </si>
  <si>
    <t>780.0k</t>
  </si>
  <si>
    <t>tigerjackieshroff</t>
  </si>
  <si>
    <t>422.9k</t>
  </si>
  <si>
    <t>kimberly.loaiza</t>
  </si>
  <si>
    <t>35.5m</t>
  </si>
  <si>
    <t>Mexico</t>
  </si>
  <si>
    <t>barackobama</t>
  </si>
  <si>
    <t>35.4m</t>
  </si>
  <si>
    <t>411.5k</t>
  </si>
  <si>
    <t>739.5m</t>
  </si>
  <si>
    <t>sachintendulkar</t>
  </si>
  <si>
    <t>35.3m</t>
  </si>
  <si>
    <t>800.4k</t>
  </si>
  <si>
    <t>664.5k</t>
  </si>
  <si>
    <t>810.0m</t>
  </si>
  <si>
    <t>simonemendes</t>
  </si>
  <si>
    <t>35.0m</t>
  </si>
  <si>
    <t>420.0k</t>
  </si>
  <si>
    <t>222.9k</t>
  </si>
  <si>
    <t>ivetesangalo</t>
  </si>
  <si>
    <t>7.6k</t>
  </si>
  <si>
    <t>34.8m</t>
  </si>
  <si>
    <t>226.4k</t>
  </si>
  <si>
    <t>121.1k</t>
  </si>
  <si>
    <t>lunamaya</t>
  </si>
  <si>
    <t>145.4k</t>
  </si>
  <si>
    <t>58.6k</t>
  </si>
  <si>
    <t>589.6m</t>
  </si>
  <si>
    <t>toni.kr8s</t>
  </si>
  <si>
    <t>0.94k</t>
  </si>
  <si>
    <t>34.7m</t>
  </si>
  <si>
    <t>597.2k</t>
  </si>
  <si>
    <t>533.5k</t>
  </si>
  <si>
    <t>561.3m</t>
  </si>
  <si>
    <t>dannapaola</t>
  </si>
  <si>
    <t>paollaoliveirareal</t>
  </si>
  <si>
    <t>367.8k</t>
  </si>
  <si>
    <t>192.3k</t>
  </si>
  <si>
    <t>blakelively</t>
  </si>
  <si>
    <t>34.6m</t>
  </si>
  <si>
    <t>350.9m</t>
  </si>
  <si>
    <t>adidasoriginals</t>
  </si>
  <si>
    <t>34.2m</t>
  </si>
  <si>
    <t>136.2k</t>
  </si>
  <si>
    <t>66.8k</t>
  </si>
  <si>
    <t>21.2m</t>
  </si>
  <si>
    <t>disney</t>
  </si>
  <si>
    <t>185.2k</t>
  </si>
  <si>
    <t>132.0k</t>
  </si>
  <si>
    <t>shaymitchell</t>
  </si>
  <si>
    <t>6.3k</t>
  </si>
  <si>
    <t>34.1m</t>
  </si>
  <si>
    <t>732.4k</t>
  </si>
  <si>
    <t>247.5k</t>
  </si>
  <si>
    <t>4.6b</t>
  </si>
  <si>
    <t>bmw</t>
  </si>
  <si>
    <t>9.3k</t>
  </si>
  <si>
    <t>33.7m</t>
  </si>
  <si>
    <t>231.3k</t>
  </si>
  <si>
    <t>76.5k</t>
  </si>
  <si>
    <t>Germany</t>
  </si>
  <si>
    <t>danbilzerian</t>
  </si>
  <si>
    <t>33.6m</t>
  </si>
  <si>
    <t>khabib_nurmagomedov</t>
  </si>
  <si>
    <t>33.5m</t>
  </si>
  <si>
    <t>685.1k</t>
  </si>
  <si>
    <t>220.7k</t>
  </si>
  <si>
    <t>3.1b</t>
  </si>
  <si>
    <t>Russia</t>
  </si>
  <si>
    <t>zidane</t>
  </si>
  <si>
    <t>0.37k</t>
  </si>
  <si>
    <t>532.7k</t>
  </si>
  <si>
    <t>391.9m</t>
  </si>
  <si>
    <t>sonamkapoor</t>
  </si>
  <si>
    <t>33.3m</t>
  </si>
  <si>
    <t>264.7k</t>
  </si>
  <si>
    <t>209.2k</t>
  </si>
  <si>
    <t>iambeckyg</t>
  </si>
  <si>
    <t>33.2m</t>
  </si>
  <si>
    <t>623.8k</t>
  </si>
  <si>
    <t>464.7k</t>
  </si>
  <si>
    <t>nancyajram</t>
  </si>
  <si>
    <t>3.8k</t>
  </si>
  <si>
    <t>390.4k</t>
  </si>
  <si>
    <t>208.0k</t>
  </si>
  <si>
    <t>luansantana</t>
  </si>
  <si>
    <t>0.77k</t>
  </si>
  <si>
    <t>193.3k</t>
  </si>
  <si>
    <t>82.6k</t>
  </si>
  <si>
    <t>149.2m</t>
  </si>
  <si>
    <t>nickjonas</t>
  </si>
  <si>
    <t>33.0m</t>
  </si>
  <si>
    <t>719.6k</t>
  </si>
  <si>
    <t>467.7k</t>
  </si>
  <si>
    <t>raisa6690</t>
  </si>
  <si>
    <t>32.8m</t>
  </si>
  <si>
    <t>232.2k</t>
  </si>
  <si>
    <t>97.4k</t>
  </si>
  <si>
    <t>969.1m</t>
  </si>
  <si>
    <t>England</t>
  </si>
  <si>
    <t>South Korea</t>
  </si>
  <si>
    <t>Colambia</t>
  </si>
  <si>
    <t>Egypt</t>
  </si>
  <si>
    <t>Wales</t>
  </si>
  <si>
    <t>Los Angeles</t>
  </si>
  <si>
    <t>Saudi Arabia</t>
  </si>
  <si>
    <t>Engagement Rate</t>
  </si>
  <si>
    <t>Avg.like</t>
  </si>
  <si>
    <t>follo.wers</t>
  </si>
  <si>
    <t>Growth_Rate</t>
  </si>
  <si>
    <t>Like-to-follow_Ratio</t>
  </si>
  <si>
    <t>Total_like_in_millions</t>
  </si>
  <si>
    <t>GCD</t>
  </si>
  <si>
    <t>follo.wers(roundoff)</t>
  </si>
</sst>
</file>

<file path=xl/styles.xml><?xml version="1.0" encoding="utf-8"?>
<styleSheet xmlns="http://schemas.openxmlformats.org/spreadsheetml/2006/main">
  <numFmts count="5">
    <numFmt numFmtId="164" formatCode="0_);[Red]\(0\)"/>
    <numFmt numFmtId="168" formatCode="#,##0.0&quot;M&quot;"/>
    <numFmt numFmtId="169" formatCode="###,000.0&quot;M&quot;"/>
    <numFmt numFmtId="170" formatCode="#,##0.00&quot;M&quot;"/>
    <numFmt numFmtId="173" formatCode="##,#00.0&quot;M&quot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0" fontId="0" fillId="0" borderId="0" xfId="0" applyNumberFormat="1"/>
    <xf numFmtId="0" fontId="16" fillId="0" borderId="0" xfId="0" applyFont="1"/>
    <xf numFmtId="2" fontId="0" fillId="0" borderId="0" xfId="0" applyNumberFormat="1"/>
    <xf numFmtId="164" fontId="0" fillId="0" borderId="0" xfId="0" applyNumberFormat="1"/>
    <xf numFmtId="164" fontId="16" fillId="0" borderId="0" xfId="0" applyNumberFormat="1" applyFont="1"/>
    <xf numFmtId="168" fontId="16" fillId="0" borderId="0" xfId="0" applyNumberFormat="1" applyFont="1"/>
    <xf numFmtId="168" fontId="0" fillId="0" borderId="0" xfId="0" applyNumberFormat="1"/>
    <xf numFmtId="169" fontId="16" fillId="0" borderId="0" xfId="0" applyNumberFormat="1" applyFont="1"/>
    <xf numFmtId="169" fontId="0" fillId="0" borderId="0" xfId="0" applyNumberFormat="1"/>
    <xf numFmtId="170" fontId="16" fillId="0" borderId="0" xfId="0" applyNumberFormat="1" applyFont="1" applyFill="1" applyBorder="1" applyAlignment="1" applyProtection="1"/>
    <xf numFmtId="170" fontId="0" fillId="0" borderId="0" xfId="0" applyNumberFormat="1" applyFont="1" applyFill="1" applyBorder="1" applyAlignment="1" applyProtection="1"/>
    <xf numFmtId="170" fontId="0" fillId="0" borderId="0" xfId="0" applyNumberFormat="1"/>
    <xf numFmtId="173" fontId="16" fillId="0" borderId="0" xfId="0" applyNumberFormat="1" applyFon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topLeftCell="I1" workbookViewId="0">
      <selection activeCell="P1" sqref="P1"/>
    </sheetView>
  </sheetViews>
  <sheetFormatPr defaultRowHeight="14.4"/>
  <cols>
    <col min="2" max="2" width="16.19921875" customWidth="1"/>
    <col min="3" max="3" width="15.8984375" customWidth="1"/>
    <col min="7" max="7" width="16.3984375" customWidth="1"/>
    <col min="8" max="8" width="18.09765625" customWidth="1"/>
    <col min="9" max="9" width="10.09765625" customWidth="1"/>
    <col min="10" max="10" width="12.796875" customWidth="1"/>
    <col min="11" max="11" width="15.3984375" customWidth="1"/>
    <col min="12" max="12" width="8.796875" style="7"/>
    <col min="13" max="13" width="8.796875" style="9"/>
    <col min="14" max="14" width="15.09765625" customWidth="1"/>
    <col min="15" max="15" width="12" customWidth="1"/>
    <col min="16" max="16" width="16.296875" style="12" customWidth="1"/>
    <col min="17" max="17" width="16" customWidth="1"/>
    <col min="18" max="18" width="18" style="14" customWidth="1"/>
    <col min="20" max="20" width="17" customWidth="1"/>
    <col min="21" max="21" width="14.69921875" style="4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898</v>
      </c>
      <c r="L1" s="6" t="s">
        <v>899</v>
      </c>
      <c r="M1" s="8" t="s">
        <v>900</v>
      </c>
      <c r="N1" s="2" t="s">
        <v>898</v>
      </c>
      <c r="O1" s="2" t="s">
        <v>901</v>
      </c>
      <c r="P1" s="10" t="s">
        <v>7</v>
      </c>
      <c r="Q1" s="2" t="s">
        <v>901</v>
      </c>
      <c r="R1" s="13" t="s">
        <v>903</v>
      </c>
      <c r="S1" s="2" t="s">
        <v>904</v>
      </c>
      <c r="T1" s="2" t="s">
        <v>902</v>
      </c>
      <c r="U1" s="5" t="s">
        <v>905</v>
      </c>
    </row>
    <row r="2" spans="1:21">
      <c r="A2">
        <v>1</v>
      </c>
      <c r="B2" t="s">
        <v>10</v>
      </c>
      <c r="C2">
        <v>92</v>
      </c>
      <c r="D2" t="s">
        <v>11</v>
      </c>
      <c r="E2" t="s">
        <v>12</v>
      </c>
      <c r="F2" t="s">
        <v>13</v>
      </c>
      <c r="G2" s="1">
        <v>1.3899999999999999E-2</v>
      </c>
      <c r="H2" t="s">
        <v>14</v>
      </c>
      <c r="I2" t="s">
        <v>15</v>
      </c>
      <c r="J2" t="s">
        <v>16</v>
      </c>
      <c r="K2" s="3">
        <f>(L2/M2)*100</f>
        <v>1.8284993694829759</v>
      </c>
      <c r="L2" s="7">
        <f>IF(RIGHT(F2,1)="k",VALUE(LEFT(F2,LEN(F2)-1))/1000,IF(RIGHT(F2,1)="m",VALUE(LEFT(F2,LEN(F2)-1)),F2))</f>
        <v>8.6999999999999993</v>
      </c>
      <c r="M2" s="9">
        <f>IF(RIGHT(E2,1)="k",VALUE(LEFT(E2,LEN(E2)-1))/1000,IF(RIGHT(E2,1)="m",VALUE(LEFT(E2,LEN(E2)-1)),E2))</f>
        <v>475.8</v>
      </c>
      <c r="N2" s="3">
        <v>1.8284993694829759</v>
      </c>
      <c r="O2" s="3">
        <f>(P2-L2)/L2*100</f>
        <v>-25.28735632183907</v>
      </c>
      <c r="P2" s="11">
        <f>IF(RIGHT(H2,1)="k",VALUE(LEFT(H2,LEN(H2)-1))/1000,IF(RIGHT(H2,1)="m",VALUE(LEFT(H2,LEN(H2)-1)),H2))</f>
        <v>6.5</v>
      </c>
      <c r="Q2" s="3">
        <v>-25.28735632183907</v>
      </c>
      <c r="R2" s="14">
        <f>IF(RIGHT(I2,1)="b",VALUE(LEFT(I2,LEN(I2)-1))*1000,IF(RIGHT(I2,1)="m",VALUE(LEFT(I2,LEN(I2)-1)),I2))</f>
        <v>29000</v>
      </c>
      <c r="S2">
        <f t="shared" ref="S2:S33" si="0">GCD(U2,R2)</f>
        <v>25</v>
      </c>
      <c r="T2" t="str">
        <f t="shared" ref="T2:T33" si="1">R2/S2&amp;":"&amp;U2/S2</f>
        <v>1160:19</v>
      </c>
      <c r="U2" s="4">
        <f>FLOOR(M2,1)</f>
        <v>475</v>
      </c>
    </row>
    <row r="3" spans="1:21">
      <c r="A3">
        <v>2</v>
      </c>
      <c r="B3" t="s">
        <v>17</v>
      </c>
      <c r="C3">
        <v>91</v>
      </c>
      <c r="D3" t="s">
        <v>18</v>
      </c>
      <c r="E3" t="s">
        <v>19</v>
      </c>
      <c r="F3" t="s">
        <v>20</v>
      </c>
      <c r="G3" s="1">
        <v>1.6199999999999999E-2</v>
      </c>
      <c r="H3" t="s">
        <v>21</v>
      </c>
      <c r="I3" t="s">
        <v>22</v>
      </c>
      <c r="J3" t="s">
        <v>23</v>
      </c>
      <c r="K3" s="3">
        <f t="shared" ref="K3:K66" si="2">(L3/M3)*100</f>
        <v>2.2665210267613327</v>
      </c>
      <c r="L3" s="7">
        <f t="shared" ref="L3:L66" si="3">IF(RIGHT(F3,1)="k",VALUE(LEFT(F3,LEN(F3)-1))/1000,IF(RIGHT(F3,1)="m",VALUE(LEFT(F3,LEN(F3)-1)),F3))</f>
        <v>8.3000000000000007</v>
      </c>
      <c r="M3" s="9">
        <f t="shared" ref="M3:M66" si="4">IF(RIGHT(E3,1)="k",VALUE(LEFT(E3,LEN(E3)-1))/1000,IF(RIGHT(E3,1)="m",VALUE(LEFT(E3,LEN(E3)-1)),E3))</f>
        <v>366.2</v>
      </c>
      <c r="N3" s="3">
        <v>2.2665210267613327</v>
      </c>
      <c r="O3" s="3">
        <f t="shared" ref="O3:O66" si="5">(P3-L3)/L3*100</f>
        <v>-28.915662650602414</v>
      </c>
      <c r="P3" s="11">
        <f t="shared" ref="P3:P66" si="6">IF(RIGHT(H3,1)="k",VALUE(LEFT(H3,LEN(H3)-1))/1000,IF(RIGHT(H3,1)="m",VALUE(LEFT(H3,LEN(H3)-1)),H3))</f>
        <v>5.9</v>
      </c>
      <c r="Q3" s="3">
        <v>-28.915662650602414</v>
      </c>
      <c r="R3" s="14">
        <f t="shared" ref="R3:R66" si="7">IF(RIGHT(I3,1)="b",VALUE(LEFT(I3,LEN(I3)-1))*1000,IF(RIGHT(I3,1)="m",VALUE(LEFT(I3,LEN(I3)-1)),I3))</f>
        <v>57400</v>
      </c>
      <c r="S3">
        <f t="shared" si="0"/>
        <v>2</v>
      </c>
      <c r="T3" t="str">
        <f t="shared" si="1"/>
        <v>28700:183</v>
      </c>
      <c r="U3" s="4">
        <f t="shared" ref="U3:U66" si="8">FLOOR(M3,1)</f>
        <v>366</v>
      </c>
    </row>
    <row r="4" spans="1:21">
      <c r="A4">
        <v>3</v>
      </c>
      <c r="B4" t="s">
        <v>24</v>
      </c>
      <c r="C4">
        <v>90</v>
      </c>
      <c r="D4" t="s">
        <v>25</v>
      </c>
      <c r="E4" t="s">
        <v>26</v>
      </c>
      <c r="F4" t="s">
        <v>27</v>
      </c>
      <c r="G4" s="1">
        <v>1.24E-2</v>
      </c>
      <c r="H4" t="s">
        <v>28</v>
      </c>
      <c r="I4" t="s">
        <v>29</v>
      </c>
      <c r="J4" t="s">
        <v>23</v>
      </c>
      <c r="K4" s="3">
        <f t="shared" si="2"/>
        <v>1.9031626084522808</v>
      </c>
      <c r="L4" s="7">
        <f t="shared" si="3"/>
        <v>6.8</v>
      </c>
      <c r="M4" s="9">
        <f t="shared" si="4"/>
        <v>357.3</v>
      </c>
      <c r="N4" s="3">
        <v>1.9031626084522808</v>
      </c>
      <c r="O4" s="3">
        <f t="shared" si="5"/>
        <v>-35.294117647058812</v>
      </c>
      <c r="P4" s="11">
        <f t="shared" si="6"/>
        <v>4.4000000000000004</v>
      </c>
      <c r="Q4" s="3">
        <v>-35.294117647058812</v>
      </c>
      <c r="R4" s="14">
        <f t="shared" si="7"/>
        <v>6000</v>
      </c>
      <c r="S4">
        <f t="shared" si="0"/>
        <v>3</v>
      </c>
      <c r="T4" t="str">
        <f t="shared" si="1"/>
        <v>2000:119</v>
      </c>
      <c r="U4" s="4">
        <f t="shared" si="8"/>
        <v>357</v>
      </c>
    </row>
    <row r="5" spans="1:21">
      <c r="A5">
        <v>4</v>
      </c>
      <c r="B5" t="s">
        <v>30</v>
      </c>
      <c r="C5">
        <v>93</v>
      </c>
      <c r="D5" t="s">
        <v>31</v>
      </c>
      <c r="E5" t="s">
        <v>32</v>
      </c>
      <c r="F5" t="s">
        <v>33</v>
      </c>
      <c r="G5" s="1">
        <v>9.7000000000000003E-3</v>
      </c>
      <c r="H5" t="s">
        <v>34</v>
      </c>
      <c r="I5" t="s">
        <v>35</v>
      </c>
      <c r="J5" t="s">
        <v>23</v>
      </c>
      <c r="K5" s="3">
        <f t="shared" si="2"/>
        <v>1.8091625328275462</v>
      </c>
      <c r="L5" s="7">
        <f t="shared" si="3"/>
        <v>6.2</v>
      </c>
      <c r="M5" s="9">
        <f t="shared" si="4"/>
        <v>342.7</v>
      </c>
      <c r="N5" s="3">
        <v>1.8091625328275462</v>
      </c>
      <c r="O5" s="3">
        <f t="shared" si="5"/>
        <v>-46.774193548387103</v>
      </c>
      <c r="P5" s="11">
        <f t="shared" si="6"/>
        <v>3.3</v>
      </c>
      <c r="Q5" s="3">
        <v>-46.774193548387103</v>
      </c>
      <c r="R5" s="14">
        <f t="shared" si="7"/>
        <v>11500</v>
      </c>
      <c r="S5">
        <f t="shared" si="0"/>
        <v>2</v>
      </c>
      <c r="T5" t="str">
        <f t="shared" si="1"/>
        <v>5750:171</v>
      </c>
      <c r="U5" s="4">
        <f t="shared" si="8"/>
        <v>342</v>
      </c>
    </row>
    <row r="6" spans="1:21">
      <c r="A6">
        <v>5</v>
      </c>
      <c r="B6" t="s">
        <v>36</v>
      </c>
      <c r="C6">
        <v>91</v>
      </c>
      <c r="D6" t="s">
        <v>37</v>
      </c>
      <c r="E6" t="s">
        <v>38</v>
      </c>
      <c r="F6" t="s">
        <v>39</v>
      </c>
      <c r="G6" s="1">
        <v>2E-3</v>
      </c>
      <c r="H6" t="s">
        <v>40</v>
      </c>
      <c r="I6" t="s">
        <v>41</v>
      </c>
      <c r="J6" t="s">
        <v>23</v>
      </c>
      <c r="K6" s="3">
        <f t="shared" si="2"/>
        <v>0.56869200838072431</v>
      </c>
      <c r="L6" s="7">
        <f t="shared" si="3"/>
        <v>1.9</v>
      </c>
      <c r="M6" s="9">
        <f t="shared" si="4"/>
        <v>334.1</v>
      </c>
      <c r="N6" s="3">
        <v>0.56869200838072431</v>
      </c>
      <c r="O6" s="3">
        <f t="shared" si="5"/>
        <v>-64.984210526315792</v>
      </c>
      <c r="P6" s="11">
        <f t="shared" si="6"/>
        <v>0.6653</v>
      </c>
      <c r="Q6" s="3">
        <v>-64.984210526315792</v>
      </c>
      <c r="R6" s="14">
        <f t="shared" si="7"/>
        <v>12500</v>
      </c>
      <c r="S6">
        <f t="shared" si="0"/>
        <v>2</v>
      </c>
      <c r="T6" t="str">
        <f t="shared" si="1"/>
        <v>6250:167</v>
      </c>
      <c r="U6" s="4">
        <f t="shared" si="8"/>
        <v>334</v>
      </c>
    </row>
    <row r="7" spans="1:21">
      <c r="A7">
        <v>6</v>
      </c>
      <c r="B7" t="s">
        <v>42</v>
      </c>
      <c r="C7">
        <v>91</v>
      </c>
      <c r="D7" t="s">
        <v>43</v>
      </c>
      <c r="E7" t="s">
        <v>44</v>
      </c>
      <c r="F7" t="s">
        <v>45</v>
      </c>
      <c r="G7" s="1">
        <v>8.8000000000000005E-3</v>
      </c>
      <c r="H7" t="s">
        <v>46</v>
      </c>
      <c r="I7" t="s">
        <v>47</v>
      </c>
      <c r="J7" t="s">
        <v>23</v>
      </c>
      <c r="K7" s="3">
        <f t="shared" si="2"/>
        <v>1.06318347509113</v>
      </c>
      <c r="L7" s="7">
        <f t="shared" si="3"/>
        <v>3.5</v>
      </c>
      <c r="M7" s="9">
        <f t="shared" si="4"/>
        <v>329.2</v>
      </c>
      <c r="N7" s="3">
        <v>1.06318347509113</v>
      </c>
      <c r="O7" s="3">
        <f t="shared" si="5"/>
        <v>-17.142857142857146</v>
      </c>
      <c r="P7" s="11">
        <f t="shared" si="6"/>
        <v>2.9</v>
      </c>
      <c r="Q7" s="3">
        <v>-17.142857142857146</v>
      </c>
      <c r="R7" s="14">
        <f t="shared" si="7"/>
        <v>19900</v>
      </c>
      <c r="S7">
        <f t="shared" si="0"/>
        <v>1</v>
      </c>
      <c r="T7" t="str">
        <f t="shared" si="1"/>
        <v>19900:329</v>
      </c>
      <c r="U7" s="4">
        <f t="shared" si="8"/>
        <v>329</v>
      </c>
    </row>
    <row r="8" spans="1:21">
      <c r="A8">
        <v>7</v>
      </c>
      <c r="B8" t="s">
        <v>48</v>
      </c>
      <c r="C8">
        <v>92</v>
      </c>
      <c r="D8" t="s">
        <v>49</v>
      </c>
      <c r="E8" t="s">
        <v>50</v>
      </c>
      <c r="F8" t="s">
        <v>51</v>
      </c>
      <c r="G8" s="1">
        <v>1.2E-2</v>
      </c>
      <c r="H8" t="s">
        <v>52</v>
      </c>
      <c r="I8" t="s">
        <v>53</v>
      </c>
      <c r="J8" t="s">
        <v>23</v>
      </c>
      <c r="K8" s="3">
        <f t="shared" si="2"/>
        <v>1.129081476960635</v>
      </c>
      <c r="L8" s="7">
        <f t="shared" si="3"/>
        <v>3.7</v>
      </c>
      <c r="M8" s="9">
        <f t="shared" si="4"/>
        <v>327.7</v>
      </c>
      <c r="N8" s="3">
        <v>1.129081476960635</v>
      </c>
      <c r="O8" s="3">
        <f t="shared" si="5"/>
        <v>5.4054054054053982</v>
      </c>
      <c r="P8" s="11">
        <f t="shared" si="6"/>
        <v>3.9</v>
      </c>
      <c r="Q8" s="3">
        <v>5.4054054054053982</v>
      </c>
      <c r="R8" s="14">
        <f t="shared" si="7"/>
        <v>18400</v>
      </c>
      <c r="S8">
        <f t="shared" si="0"/>
        <v>1</v>
      </c>
      <c r="T8" t="str">
        <f t="shared" si="1"/>
        <v>18400:327</v>
      </c>
      <c r="U8" s="4">
        <f t="shared" si="8"/>
        <v>327</v>
      </c>
    </row>
    <row r="9" spans="1:21">
      <c r="A9">
        <v>8</v>
      </c>
      <c r="B9" t="s">
        <v>54</v>
      </c>
      <c r="C9">
        <v>92</v>
      </c>
      <c r="D9" t="s">
        <v>55</v>
      </c>
      <c r="E9" t="s">
        <v>56</v>
      </c>
      <c r="F9" t="s">
        <v>57</v>
      </c>
      <c r="G9" s="1">
        <v>7.6E-3</v>
      </c>
      <c r="H9" t="s">
        <v>58</v>
      </c>
      <c r="I9" t="s">
        <v>59</v>
      </c>
      <c r="J9" t="s">
        <v>23</v>
      </c>
      <c r="K9" s="3">
        <f t="shared" si="2"/>
        <v>1.3196480938416422</v>
      </c>
      <c r="L9" s="7">
        <f t="shared" si="3"/>
        <v>3.6</v>
      </c>
      <c r="M9" s="9">
        <f t="shared" si="4"/>
        <v>272.8</v>
      </c>
      <c r="N9" s="3">
        <v>1.3196480938416422</v>
      </c>
      <c r="O9" s="3">
        <f t="shared" si="5"/>
        <v>-44.44444444444445</v>
      </c>
      <c r="P9" s="11">
        <f t="shared" si="6"/>
        <v>2</v>
      </c>
      <c r="Q9" s="3">
        <v>-44.44444444444445</v>
      </c>
      <c r="R9" s="14">
        <f t="shared" si="7"/>
        <v>7400</v>
      </c>
      <c r="S9">
        <f t="shared" si="0"/>
        <v>8</v>
      </c>
      <c r="T9" t="str">
        <f t="shared" si="1"/>
        <v>925:34</v>
      </c>
      <c r="U9" s="4">
        <f t="shared" si="8"/>
        <v>272</v>
      </c>
    </row>
    <row r="10" spans="1:21">
      <c r="A10">
        <v>9</v>
      </c>
      <c r="B10" t="s">
        <v>60</v>
      </c>
      <c r="C10">
        <v>89</v>
      </c>
      <c r="D10" t="s">
        <v>61</v>
      </c>
      <c r="E10" t="s">
        <v>62</v>
      </c>
      <c r="F10" t="s">
        <v>63</v>
      </c>
      <c r="G10" s="1">
        <v>3.5000000000000001E-3</v>
      </c>
      <c r="H10" t="s">
        <v>64</v>
      </c>
      <c r="I10" t="s">
        <v>65</v>
      </c>
      <c r="J10" t="s">
        <v>23</v>
      </c>
      <c r="K10" s="3">
        <f t="shared" si="2"/>
        <v>0.89452105851658592</v>
      </c>
      <c r="L10" s="7">
        <f t="shared" si="3"/>
        <v>2.4</v>
      </c>
      <c r="M10" s="9">
        <f t="shared" si="4"/>
        <v>268.3</v>
      </c>
      <c r="N10" s="3">
        <v>0.89452105851658592</v>
      </c>
      <c r="O10" s="3">
        <f t="shared" si="5"/>
        <v>-61.379166666666677</v>
      </c>
      <c r="P10" s="11">
        <f t="shared" si="6"/>
        <v>0.92689999999999995</v>
      </c>
      <c r="Q10" s="3">
        <v>-61.379166666666677</v>
      </c>
      <c r="R10" s="14">
        <f t="shared" si="7"/>
        <v>9800</v>
      </c>
      <c r="S10">
        <f t="shared" si="0"/>
        <v>4</v>
      </c>
      <c r="T10" t="str">
        <f t="shared" si="1"/>
        <v>2450:67</v>
      </c>
      <c r="U10" s="4">
        <f t="shared" si="8"/>
        <v>268</v>
      </c>
    </row>
    <row r="11" spans="1:21">
      <c r="A11">
        <v>10</v>
      </c>
      <c r="B11" t="s">
        <v>66</v>
      </c>
      <c r="C11">
        <v>91</v>
      </c>
      <c r="D11" t="s">
        <v>67</v>
      </c>
      <c r="E11" t="s">
        <v>68</v>
      </c>
      <c r="F11" t="s">
        <v>39</v>
      </c>
      <c r="G11" s="1">
        <v>5.8999999999999999E-3</v>
      </c>
      <c r="H11" t="s">
        <v>69</v>
      </c>
      <c r="I11" t="s">
        <v>70</v>
      </c>
      <c r="J11" t="s">
        <v>71</v>
      </c>
      <c r="K11" s="3">
        <f t="shared" si="2"/>
        <v>0.74656188605108054</v>
      </c>
      <c r="L11" s="7">
        <f t="shared" si="3"/>
        <v>1.9</v>
      </c>
      <c r="M11" s="9">
        <f t="shared" si="4"/>
        <v>254.5</v>
      </c>
      <c r="N11" s="3">
        <v>0.74656188605108054</v>
      </c>
      <c r="O11" s="3">
        <f t="shared" si="5"/>
        <v>-21.052631578947363</v>
      </c>
      <c r="P11" s="11">
        <f t="shared" si="6"/>
        <v>1.5</v>
      </c>
      <c r="Q11" s="3">
        <v>-21.052631578947363</v>
      </c>
      <c r="R11" s="14">
        <f t="shared" si="7"/>
        <v>13900</v>
      </c>
      <c r="S11">
        <f t="shared" si="0"/>
        <v>2</v>
      </c>
      <c r="T11" t="str">
        <f t="shared" si="1"/>
        <v>6950:127</v>
      </c>
      <c r="U11" s="4">
        <f t="shared" si="8"/>
        <v>254</v>
      </c>
    </row>
    <row r="12" spans="1:21">
      <c r="A12">
        <v>11</v>
      </c>
      <c r="B12" t="s">
        <v>72</v>
      </c>
      <c r="C12">
        <v>90</v>
      </c>
      <c r="D12" t="s">
        <v>73</v>
      </c>
      <c r="E12" t="s">
        <v>74</v>
      </c>
      <c r="F12" t="s">
        <v>75</v>
      </c>
      <c r="G12" s="1">
        <v>2.0400000000000001E-2</v>
      </c>
      <c r="H12" t="s">
        <v>76</v>
      </c>
      <c r="I12" t="s">
        <v>77</v>
      </c>
      <c r="J12" t="s">
        <v>23</v>
      </c>
      <c r="K12" s="3">
        <f t="shared" si="2"/>
        <v>2.1653543307086616</v>
      </c>
      <c r="L12" s="7">
        <f t="shared" si="3"/>
        <v>5.5</v>
      </c>
      <c r="M12" s="9">
        <f t="shared" si="4"/>
        <v>254</v>
      </c>
      <c r="N12" s="3">
        <v>2.1653543307086616</v>
      </c>
      <c r="O12" s="3">
        <f t="shared" si="5"/>
        <v>-7.2727272727272796</v>
      </c>
      <c r="P12" s="11">
        <f t="shared" si="6"/>
        <v>5.0999999999999996</v>
      </c>
      <c r="Q12" s="3">
        <v>-7.2727272727272796</v>
      </c>
      <c r="R12" s="14">
        <f t="shared" si="7"/>
        <v>3700</v>
      </c>
      <c r="S12">
        <f t="shared" si="0"/>
        <v>2</v>
      </c>
      <c r="T12" t="str">
        <f t="shared" si="1"/>
        <v>1850:127</v>
      </c>
      <c r="U12" s="4">
        <f t="shared" si="8"/>
        <v>254</v>
      </c>
    </row>
    <row r="13" spans="1:21">
      <c r="A13">
        <v>12</v>
      </c>
      <c r="B13" t="s">
        <v>78</v>
      </c>
      <c r="C13">
        <v>91</v>
      </c>
      <c r="D13" t="s">
        <v>79</v>
      </c>
      <c r="E13" t="s">
        <v>80</v>
      </c>
      <c r="F13" t="s">
        <v>81</v>
      </c>
      <c r="G13" s="1">
        <v>6.9999999999999999E-4</v>
      </c>
      <c r="H13" t="s">
        <v>82</v>
      </c>
      <c r="I13" t="s">
        <v>83</v>
      </c>
      <c r="J13" t="s">
        <v>23</v>
      </c>
      <c r="K13" s="3">
        <f t="shared" si="2"/>
        <v>0.12751054852320673</v>
      </c>
      <c r="L13" s="7">
        <f t="shared" si="3"/>
        <v>0.30219999999999997</v>
      </c>
      <c r="M13" s="9">
        <f t="shared" si="4"/>
        <v>237</v>
      </c>
      <c r="N13" s="3">
        <v>0.12751054852320673</v>
      </c>
      <c r="O13" s="3">
        <f t="shared" si="5"/>
        <v>-47.286565188616798</v>
      </c>
      <c r="P13" s="11">
        <f t="shared" si="6"/>
        <v>0.15930000000000002</v>
      </c>
      <c r="Q13" s="3">
        <v>-47.286565188616798</v>
      </c>
      <c r="R13" s="14">
        <f t="shared" si="7"/>
        <v>3000</v>
      </c>
      <c r="S13">
        <f t="shared" si="0"/>
        <v>3</v>
      </c>
      <c r="T13" t="str">
        <f t="shared" si="1"/>
        <v>1000:79</v>
      </c>
      <c r="U13" s="4">
        <f t="shared" si="8"/>
        <v>237</v>
      </c>
    </row>
    <row r="14" spans="1:21">
      <c r="A14">
        <v>13</v>
      </c>
      <c r="B14" t="s">
        <v>84</v>
      </c>
      <c r="C14">
        <v>90</v>
      </c>
      <c r="D14" t="s">
        <v>85</v>
      </c>
      <c r="E14" t="s">
        <v>86</v>
      </c>
      <c r="F14" t="s">
        <v>87</v>
      </c>
      <c r="G14" s="1">
        <v>8.0000000000000004E-4</v>
      </c>
      <c r="H14" t="s">
        <v>88</v>
      </c>
      <c r="I14" t="s">
        <v>89</v>
      </c>
      <c r="J14" t="s">
        <v>23</v>
      </c>
      <c r="K14" s="3">
        <f t="shared" si="2"/>
        <v>0.14053823152498934</v>
      </c>
      <c r="L14" s="7">
        <f t="shared" si="3"/>
        <v>0.32900000000000001</v>
      </c>
      <c r="M14" s="9">
        <f t="shared" si="4"/>
        <v>234.1</v>
      </c>
      <c r="N14" s="3">
        <v>0.14053823152498934</v>
      </c>
      <c r="O14" s="3">
        <f t="shared" si="5"/>
        <v>-44.741641337386021</v>
      </c>
      <c r="P14" s="11">
        <f t="shared" si="6"/>
        <v>0.18180000000000002</v>
      </c>
      <c r="Q14" s="3">
        <v>-44.741641337386021</v>
      </c>
      <c r="R14" s="14">
        <f t="shared" si="7"/>
        <v>313.60000000000002</v>
      </c>
      <c r="S14">
        <f t="shared" si="0"/>
        <v>1</v>
      </c>
      <c r="T14" t="str">
        <f t="shared" si="1"/>
        <v>313.6:234</v>
      </c>
      <c r="U14" s="4">
        <f t="shared" si="8"/>
        <v>234</v>
      </c>
    </row>
    <row r="15" spans="1:21">
      <c r="A15">
        <v>14</v>
      </c>
      <c r="B15" t="s">
        <v>90</v>
      </c>
      <c r="C15">
        <v>91</v>
      </c>
      <c r="D15" t="s">
        <v>91</v>
      </c>
      <c r="E15" t="s">
        <v>92</v>
      </c>
      <c r="F15" t="s">
        <v>63</v>
      </c>
      <c r="G15" s="1">
        <v>1.01E-2</v>
      </c>
      <c r="H15" t="s">
        <v>93</v>
      </c>
      <c r="I15" t="s">
        <v>94</v>
      </c>
      <c r="J15" t="s">
        <v>23</v>
      </c>
      <c r="K15" s="3">
        <f t="shared" si="2"/>
        <v>1.0801080108010801</v>
      </c>
      <c r="L15" s="7">
        <f t="shared" si="3"/>
        <v>2.4</v>
      </c>
      <c r="M15" s="9">
        <f t="shared" si="4"/>
        <v>222.2</v>
      </c>
      <c r="N15" s="3">
        <v>1.0801080108010801</v>
      </c>
      <c r="O15" s="3">
        <f t="shared" si="5"/>
        <v>-4.1666666666666705</v>
      </c>
      <c r="P15" s="11">
        <f t="shared" si="6"/>
        <v>2.2999999999999998</v>
      </c>
      <c r="Q15" s="3">
        <v>-4.1666666666666705</v>
      </c>
      <c r="R15" s="14">
        <f t="shared" si="7"/>
        <v>1300</v>
      </c>
      <c r="S15">
        <f t="shared" si="0"/>
        <v>2</v>
      </c>
      <c r="T15" t="str">
        <f t="shared" si="1"/>
        <v>650:111</v>
      </c>
      <c r="U15" s="4">
        <f t="shared" si="8"/>
        <v>222</v>
      </c>
    </row>
    <row r="16" spans="1:21">
      <c r="A16">
        <v>15</v>
      </c>
      <c r="B16" t="s">
        <v>95</v>
      </c>
      <c r="C16">
        <v>89</v>
      </c>
      <c r="D16" t="s">
        <v>96</v>
      </c>
      <c r="E16" t="s">
        <v>97</v>
      </c>
      <c r="F16" t="s">
        <v>98</v>
      </c>
      <c r="G16" s="1">
        <v>6.1999999999999998E-3</v>
      </c>
      <c r="H16" t="s">
        <v>99</v>
      </c>
      <c r="I16" t="s">
        <v>100</v>
      </c>
      <c r="J16" t="s">
        <v>23</v>
      </c>
      <c r="K16" s="3">
        <f t="shared" si="2"/>
        <v>0.77132486388384747</v>
      </c>
      <c r="L16" s="7">
        <f t="shared" si="3"/>
        <v>1.7</v>
      </c>
      <c r="M16" s="9">
        <f t="shared" si="4"/>
        <v>220.4</v>
      </c>
      <c r="N16" s="3">
        <v>0.77132486388384747</v>
      </c>
      <c r="O16" s="3">
        <f t="shared" si="5"/>
        <v>-17.647058823529417</v>
      </c>
      <c r="P16" s="11">
        <f t="shared" si="6"/>
        <v>1.4</v>
      </c>
      <c r="Q16" s="3">
        <v>-17.647058823529417</v>
      </c>
      <c r="R16" s="14">
        <f t="shared" si="7"/>
        <v>5300</v>
      </c>
      <c r="S16">
        <f t="shared" si="0"/>
        <v>20</v>
      </c>
      <c r="T16" t="str">
        <f t="shared" si="1"/>
        <v>265:11</v>
      </c>
      <c r="U16" s="4">
        <f t="shared" si="8"/>
        <v>220</v>
      </c>
    </row>
    <row r="17" spans="1:21">
      <c r="A17">
        <v>16</v>
      </c>
      <c r="B17" t="s">
        <v>101</v>
      </c>
      <c r="C17">
        <v>87</v>
      </c>
      <c r="D17" t="s">
        <v>102</v>
      </c>
      <c r="E17" t="s">
        <v>103</v>
      </c>
      <c r="F17" t="s">
        <v>45</v>
      </c>
      <c r="G17" s="1">
        <v>9.5999999999999992E-3</v>
      </c>
      <c r="H17" t="s">
        <v>58</v>
      </c>
      <c r="I17" t="s">
        <v>104</v>
      </c>
      <c r="J17" t="s">
        <v>256</v>
      </c>
      <c r="K17" s="3">
        <f t="shared" si="2"/>
        <v>1.6525023607176579</v>
      </c>
      <c r="L17" s="7">
        <f t="shared" si="3"/>
        <v>3.5</v>
      </c>
      <c r="M17" s="9">
        <f t="shared" si="4"/>
        <v>211.8</v>
      </c>
      <c r="N17" s="3">
        <v>1.6525023607176579</v>
      </c>
      <c r="O17" s="3">
        <f t="shared" si="5"/>
        <v>-42.857142857142854</v>
      </c>
      <c r="P17" s="11">
        <f t="shared" si="6"/>
        <v>2</v>
      </c>
      <c r="Q17" s="3">
        <v>-42.857142857142854</v>
      </c>
      <c r="R17" s="14">
        <f t="shared" si="7"/>
        <v>4900</v>
      </c>
      <c r="S17">
        <f t="shared" si="0"/>
        <v>1</v>
      </c>
      <c r="T17" t="str">
        <f t="shared" si="1"/>
        <v>4900:211</v>
      </c>
      <c r="U17" s="4">
        <f t="shared" si="8"/>
        <v>211</v>
      </c>
    </row>
    <row r="18" spans="1:21">
      <c r="A18">
        <v>17</v>
      </c>
      <c r="B18" t="s">
        <v>105</v>
      </c>
      <c r="C18">
        <v>90</v>
      </c>
      <c r="D18" t="s">
        <v>106</v>
      </c>
      <c r="E18" t="s">
        <v>107</v>
      </c>
      <c r="F18" t="s">
        <v>108</v>
      </c>
      <c r="G18" s="1">
        <v>5.3E-3</v>
      </c>
      <c r="H18" t="s">
        <v>109</v>
      </c>
      <c r="I18" t="s">
        <v>110</v>
      </c>
      <c r="J18" t="s">
        <v>23</v>
      </c>
      <c r="K18" s="3">
        <f t="shared" si="2"/>
        <v>1.0416666666666667</v>
      </c>
      <c r="L18" s="7">
        <f t="shared" si="3"/>
        <v>2.1</v>
      </c>
      <c r="M18" s="9">
        <f t="shared" si="4"/>
        <v>201.6</v>
      </c>
      <c r="N18" s="3">
        <v>1.0416666666666667</v>
      </c>
      <c r="O18" s="3">
        <f t="shared" si="5"/>
        <v>-52.380952380952387</v>
      </c>
      <c r="P18" s="11">
        <f t="shared" si="6"/>
        <v>1</v>
      </c>
      <c r="Q18" s="3">
        <v>-52.380952380952387</v>
      </c>
      <c r="R18" s="14">
        <f t="shared" si="7"/>
        <v>13500</v>
      </c>
      <c r="S18">
        <f t="shared" si="0"/>
        <v>3</v>
      </c>
      <c r="T18" t="str">
        <f t="shared" si="1"/>
        <v>4500:67</v>
      </c>
      <c r="U18" s="4">
        <f t="shared" si="8"/>
        <v>201</v>
      </c>
    </row>
    <row r="19" spans="1:21">
      <c r="A19">
        <v>18</v>
      </c>
      <c r="B19" t="s">
        <v>111</v>
      </c>
      <c r="C19">
        <v>89</v>
      </c>
      <c r="D19" t="s">
        <v>112</v>
      </c>
      <c r="E19" t="s">
        <v>113</v>
      </c>
      <c r="F19" t="s">
        <v>114</v>
      </c>
      <c r="G19" s="1">
        <v>6.7000000000000002E-3</v>
      </c>
      <c r="H19" t="s">
        <v>115</v>
      </c>
      <c r="I19" t="s">
        <v>116</v>
      </c>
      <c r="J19" t="s">
        <v>23</v>
      </c>
      <c r="K19" s="3">
        <f t="shared" si="2"/>
        <v>0.9221311475409838</v>
      </c>
      <c r="L19" s="7">
        <f t="shared" si="3"/>
        <v>1.8</v>
      </c>
      <c r="M19" s="9">
        <f t="shared" si="4"/>
        <v>195.2</v>
      </c>
      <c r="N19" s="3">
        <v>0.9221311475409838</v>
      </c>
      <c r="O19" s="3">
        <f t="shared" si="5"/>
        <v>-27.777777777777779</v>
      </c>
      <c r="P19" s="11">
        <f t="shared" si="6"/>
        <v>1.3</v>
      </c>
      <c r="Q19" s="3">
        <v>-27.777777777777779</v>
      </c>
      <c r="R19" s="14">
        <f t="shared" si="7"/>
        <v>7700</v>
      </c>
      <c r="S19">
        <f t="shared" si="0"/>
        <v>5</v>
      </c>
      <c r="T19" t="str">
        <f t="shared" si="1"/>
        <v>1540:39</v>
      </c>
      <c r="U19" s="4">
        <f t="shared" si="8"/>
        <v>195</v>
      </c>
    </row>
    <row r="20" spans="1:21">
      <c r="A20">
        <v>19</v>
      </c>
      <c r="B20" t="s">
        <v>117</v>
      </c>
      <c r="C20">
        <v>89</v>
      </c>
      <c r="D20" t="s">
        <v>118</v>
      </c>
      <c r="E20" t="s">
        <v>119</v>
      </c>
      <c r="F20" t="s">
        <v>115</v>
      </c>
      <c r="G20" s="1">
        <v>5.1000000000000004E-3</v>
      </c>
      <c r="H20" t="s">
        <v>120</v>
      </c>
      <c r="I20" t="s">
        <v>121</v>
      </c>
      <c r="J20" t="s">
        <v>23</v>
      </c>
      <c r="K20" s="3">
        <f t="shared" si="2"/>
        <v>0.71625344352617082</v>
      </c>
      <c r="L20" s="7">
        <f t="shared" si="3"/>
        <v>1.3</v>
      </c>
      <c r="M20" s="9">
        <f t="shared" si="4"/>
        <v>181.5</v>
      </c>
      <c r="N20" s="3">
        <v>0.71625344352617082</v>
      </c>
      <c r="O20" s="3">
        <f t="shared" si="5"/>
        <v>-29.723076923076931</v>
      </c>
      <c r="P20" s="11">
        <f t="shared" si="6"/>
        <v>0.91359999999999997</v>
      </c>
      <c r="Q20" s="3">
        <v>-29.723076923076931</v>
      </c>
      <c r="R20" s="14">
        <f t="shared" si="7"/>
        <v>1600</v>
      </c>
      <c r="S20">
        <f t="shared" si="0"/>
        <v>1</v>
      </c>
      <c r="T20" t="str">
        <f t="shared" si="1"/>
        <v>1600:181</v>
      </c>
      <c r="U20" s="4">
        <f t="shared" si="8"/>
        <v>181</v>
      </c>
    </row>
    <row r="21" spans="1:21">
      <c r="A21">
        <v>20</v>
      </c>
      <c r="B21" t="s">
        <v>122</v>
      </c>
      <c r="C21">
        <v>90</v>
      </c>
      <c r="D21" t="s">
        <v>123</v>
      </c>
      <c r="E21" t="s">
        <v>124</v>
      </c>
      <c r="F21" t="s">
        <v>125</v>
      </c>
      <c r="G21" s="1">
        <v>1.09E-2</v>
      </c>
      <c r="H21" t="s">
        <v>39</v>
      </c>
      <c r="I21" t="s">
        <v>126</v>
      </c>
      <c r="J21" t="s">
        <v>127</v>
      </c>
      <c r="K21" s="3">
        <f t="shared" si="2"/>
        <v>1.5245623941276116</v>
      </c>
      <c r="L21" s="7">
        <f t="shared" si="3"/>
        <v>2.7</v>
      </c>
      <c r="M21" s="9">
        <f t="shared" si="4"/>
        <v>177.1</v>
      </c>
      <c r="N21" s="3">
        <v>1.5245623941276116</v>
      </c>
      <c r="O21" s="3">
        <f t="shared" si="5"/>
        <v>-29.62962962962964</v>
      </c>
      <c r="P21" s="11">
        <f t="shared" si="6"/>
        <v>1.9</v>
      </c>
      <c r="Q21" s="3">
        <v>-29.62962962962964</v>
      </c>
      <c r="R21" s="14">
        <f t="shared" si="7"/>
        <v>14100</v>
      </c>
      <c r="S21">
        <f t="shared" si="0"/>
        <v>3</v>
      </c>
      <c r="T21" t="str">
        <f t="shared" si="1"/>
        <v>4700:59</v>
      </c>
      <c r="U21" s="4">
        <f t="shared" si="8"/>
        <v>177</v>
      </c>
    </row>
    <row r="22" spans="1:21">
      <c r="A22">
        <v>21</v>
      </c>
      <c r="B22" t="s">
        <v>128</v>
      </c>
      <c r="C22">
        <v>92</v>
      </c>
      <c r="D22" t="s">
        <v>55</v>
      </c>
      <c r="E22" t="s">
        <v>129</v>
      </c>
      <c r="F22" t="s">
        <v>130</v>
      </c>
      <c r="G22" s="1">
        <v>1.6000000000000001E-3</v>
      </c>
      <c r="H22" t="s">
        <v>131</v>
      </c>
      <c r="I22" t="s">
        <v>132</v>
      </c>
      <c r="J22" t="s">
        <v>23</v>
      </c>
      <c r="K22" s="3">
        <f t="shared" si="2"/>
        <v>0.41984732824427473</v>
      </c>
      <c r="L22" s="7">
        <f t="shared" si="3"/>
        <v>0.71499999999999997</v>
      </c>
      <c r="M22" s="9">
        <f t="shared" si="4"/>
        <v>170.3</v>
      </c>
      <c r="N22" s="3">
        <v>0.41984732824427473</v>
      </c>
      <c r="O22" s="3">
        <f t="shared" si="5"/>
        <v>-62.923076923076927</v>
      </c>
      <c r="P22" s="11">
        <f t="shared" si="6"/>
        <v>0.2651</v>
      </c>
      <c r="Q22" s="3">
        <v>-62.923076923076927</v>
      </c>
      <c r="R22" s="14">
        <f t="shared" si="7"/>
        <v>1500</v>
      </c>
      <c r="S22">
        <f t="shared" si="0"/>
        <v>10</v>
      </c>
      <c r="T22" t="str">
        <f t="shared" si="1"/>
        <v>150:17</v>
      </c>
      <c r="U22" s="4">
        <f t="shared" si="8"/>
        <v>170</v>
      </c>
    </row>
    <row r="23" spans="1:21">
      <c r="A23">
        <v>22</v>
      </c>
      <c r="B23" t="s">
        <v>133</v>
      </c>
      <c r="C23">
        <v>88</v>
      </c>
      <c r="D23" t="s">
        <v>134</v>
      </c>
      <c r="E23" t="s">
        <v>135</v>
      </c>
      <c r="F23" t="s">
        <v>136</v>
      </c>
      <c r="G23" s="1">
        <v>8.0000000000000004E-4</v>
      </c>
      <c r="H23" t="s">
        <v>137</v>
      </c>
      <c r="I23" t="s">
        <v>138</v>
      </c>
      <c r="J23" t="s">
        <v>23</v>
      </c>
      <c r="K23" s="3">
        <f t="shared" si="2"/>
        <v>0.34342105263157896</v>
      </c>
      <c r="L23" s="7">
        <f t="shared" si="3"/>
        <v>0.52200000000000002</v>
      </c>
      <c r="M23" s="9">
        <f t="shared" si="4"/>
        <v>152</v>
      </c>
      <c r="N23" s="3">
        <v>0.34342105263157896</v>
      </c>
      <c r="O23" s="3">
        <f t="shared" si="5"/>
        <v>-77.931034482758633</v>
      </c>
      <c r="P23" s="11">
        <f t="shared" si="6"/>
        <v>0.1152</v>
      </c>
      <c r="Q23" s="3">
        <v>-77.931034482758633</v>
      </c>
      <c r="R23" s="14">
        <f t="shared" si="7"/>
        <v>4300</v>
      </c>
      <c r="S23">
        <f t="shared" si="0"/>
        <v>4</v>
      </c>
      <c r="T23" t="str">
        <f t="shared" si="1"/>
        <v>1075:38</v>
      </c>
      <c r="U23" s="4">
        <f t="shared" si="8"/>
        <v>152</v>
      </c>
    </row>
    <row r="24" spans="1:21">
      <c r="A24">
        <v>23</v>
      </c>
      <c r="B24" t="s">
        <v>139</v>
      </c>
      <c r="C24">
        <v>87</v>
      </c>
      <c r="D24" t="s">
        <v>140</v>
      </c>
      <c r="E24" t="s">
        <v>141</v>
      </c>
      <c r="F24" t="s">
        <v>142</v>
      </c>
      <c r="G24" s="1">
        <v>3.1699999999999999E-2</v>
      </c>
      <c r="H24" t="s">
        <v>143</v>
      </c>
      <c r="I24" t="s">
        <v>144</v>
      </c>
      <c r="J24" t="s">
        <v>23</v>
      </c>
      <c r="K24" s="3">
        <f t="shared" si="2"/>
        <v>3.8487060384870606</v>
      </c>
      <c r="L24" s="7">
        <f t="shared" si="3"/>
        <v>5.8</v>
      </c>
      <c r="M24" s="9">
        <f t="shared" si="4"/>
        <v>150.69999999999999</v>
      </c>
      <c r="N24" s="3">
        <v>3.8487060384870606</v>
      </c>
      <c r="O24" s="3">
        <f t="shared" si="5"/>
        <v>-17.241379310344829</v>
      </c>
      <c r="P24" s="11">
        <f t="shared" si="6"/>
        <v>4.8</v>
      </c>
      <c r="Q24" s="3">
        <v>-17.241379310344829</v>
      </c>
      <c r="R24" s="14">
        <f t="shared" si="7"/>
        <v>20600</v>
      </c>
      <c r="S24">
        <f t="shared" si="0"/>
        <v>50</v>
      </c>
      <c r="T24" t="str">
        <f t="shared" si="1"/>
        <v>412:3</v>
      </c>
      <c r="U24" s="4">
        <f t="shared" si="8"/>
        <v>150</v>
      </c>
    </row>
    <row r="25" spans="1:21">
      <c r="A25">
        <v>24</v>
      </c>
      <c r="B25" t="s">
        <v>145</v>
      </c>
      <c r="C25">
        <v>75</v>
      </c>
      <c r="D25" t="s">
        <v>146</v>
      </c>
      <c r="E25" t="s">
        <v>147</v>
      </c>
      <c r="F25" t="s">
        <v>148</v>
      </c>
      <c r="G25" s="1">
        <v>1.0999999999999999E-2</v>
      </c>
      <c r="H25" t="s">
        <v>69</v>
      </c>
      <c r="I25" t="s">
        <v>149</v>
      </c>
      <c r="J25" t="s">
        <v>23</v>
      </c>
      <c r="K25" s="3">
        <f t="shared" si="2"/>
        <v>2.2064056939501779</v>
      </c>
      <c r="L25" s="7">
        <f t="shared" si="3"/>
        <v>3.1</v>
      </c>
      <c r="M25" s="9">
        <f t="shared" si="4"/>
        <v>140.5</v>
      </c>
      <c r="N25" s="3">
        <v>2.2064056939501779</v>
      </c>
      <c r="O25" s="3">
        <f t="shared" si="5"/>
        <v>-51.612903225806448</v>
      </c>
      <c r="P25" s="11">
        <f t="shared" si="6"/>
        <v>1.5</v>
      </c>
      <c r="Q25" s="3">
        <v>-51.612903225806448</v>
      </c>
      <c r="R25" s="14">
        <f t="shared" si="7"/>
        <v>5000</v>
      </c>
      <c r="S25">
        <f t="shared" si="0"/>
        <v>20</v>
      </c>
      <c r="T25" t="str">
        <f t="shared" si="1"/>
        <v>250:7</v>
      </c>
      <c r="U25" s="4">
        <f t="shared" si="8"/>
        <v>140</v>
      </c>
    </row>
    <row r="26" spans="1:21">
      <c r="A26">
        <v>25</v>
      </c>
      <c r="B26" t="s">
        <v>150</v>
      </c>
      <c r="C26">
        <v>88</v>
      </c>
      <c r="D26" t="s">
        <v>151</v>
      </c>
      <c r="E26" t="s">
        <v>152</v>
      </c>
      <c r="F26" t="s">
        <v>153</v>
      </c>
      <c r="G26" s="1">
        <v>2.7000000000000001E-3</v>
      </c>
      <c r="H26" t="s">
        <v>154</v>
      </c>
      <c r="I26" t="s">
        <v>155</v>
      </c>
      <c r="J26" t="s">
        <v>23</v>
      </c>
      <c r="K26" s="3">
        <f t="shared" si="2"/>
        <v>0.79079798705966942</v>
      </c>
      <c r="L26" s="7">
        <f t="shared" si="3"/>
        <v>1.1000000000000001</v>
      </c>
      <c r="M26" s="9">
        <f t="shared" si="4"/>
        <v>139.1</v>
      </c>
      <c r="N26" s="3">
        <v>0.79079798705966942</v>
      </c>
      <c r="O26" s="3">
        <f t="shared" si="5"/>
        <v>-66.963636363636368</v>
      </c>
      <c r="P26" s="11">
        <f t="shared" si="6"/>
        <v>0.3634</v>
      </c>
      <c r="Q26" s="3">
        <v>-66.963636363636368</v>
      </c>
      <c r="R26" s="14">
        <f t="shared" si="7"/>
        <v>91.3</v>
      </c>
      <c r="S26">
        <f t="shared" si="0"/>
        <v>1</v>
      </c>
      <c r="T26" t="str">
        <f t="shared" si="1"/>
        <v>91.3:139</v>
      </c>
      <c r="U26" s="4">
        <f t="shared" si="8"/>
        <v>139</v>
      </c>
    </row>
    <row r="27" spans="1:21">
      <c r="A27">
        <v>26</v>
      </c>
      <c r="B27" t="s">
        <v>156</v>
      </c>
      <c r="C27">
        <v>88</v>
      </c>
      <c r="D27" t="s">
        <v>157</v>
      </c>
      <c r="E27" t="s">
        <v>158</v>
      </c>
      <c r="F27" t="s">
        <v>51</v>
      </c>
      <c r="G27" s="1">
        <v>2.0000000000000001E-4</v>
      </c>
      <c r="H27">
        <v>0</v>
      </c>
      <c r="I27" t="s">
        <v>159</v>
      </c>
      <c r="J27" t="s">
        <v>23</v>
      </c>
      <c r="K27" s="3">
        <f t="shared" si="2"/>
        <v>2.7346637102734661</v>
      </c>
      <c r="L27" s="7">
        <f t="shared" si="3"/>
        <v>3.7</v>
      </c>
      <c r="M27" s="9">
        <f t="shared" si="4"/>
        <v>135.30000000000001</v>
      </c>
      <c r="N27" s="3">
        <v>2.7346637102734661</v>
      </c>
      <c r="O27" s="3">
        <f t="shared" si="5"/>
        <v>-100</v>
      </c>
      <c r="P27" s="11">
        <f t="shared" si="6"/>
        <v>0</v>
      </c>
      <c r="Q27" s="3">
        <v>-100</v>
      </c>
      <c r="R27" s="14">
        <f t="shared" si="7"/>
        <v>17900</v>
      </c>
      <c r="S27">
        <f t="shared" si="0"/>
        <v>5</v>
      </c>
      <c r="T27" t="str">
        <f t="shared" si="1"/>
        <v>3580:27</v>
      </c>
      <c r="U27" s="4">
        <f t="shared" si="8"/>
        <v>135</v>
      </c>
    </row>
    <row r="28" spans="1:21">
      <c r="A28">
        <v>27</v>
      </c>
      <c r="B28" t="s">
        <v>160</v>
      </c>
      <c r="C28">
        <v>86</v>
      </c>
      <c r="D28" t="s">
        <v>161</v>
      </c>
      <c r="E28" t="s">
        <v>162</v>
      </c>
      <c r="F28" t="s">
        <v>108</v>
      </c>
      <c r="G28" s="1">
        <v>9.1999999999999998E-3</v>
      </c>
      <c r="H28" t="s">
        <v>163</v>
      </c>
      <c r="I28" t="s">
        <v>104</v>
      </c>
      <c r="J28" t="s">
        <v>891</v>
      </c>
      <c r="K28" s="3">
        <f t="shared" si="2"/>
        <v>1.6042780748663104</v>
      </c>
      <c r="L28" s="7">
        <f t="shared" si="3"/>
        <v>2.1</v>
      </c>
      <c r="M28" s="9">
        <f t="shared" si="4"/>
        <v>130.9</v>
      </c>
      <c r="N28" s="3">
        <v>1.6042780748663104</v>
      </c>
      <c r="O28" s="3">
        <f t="shared" si="5"/>
        <v>-42.857142857142861</v>
      </c>
      <c r="P28" s="11">
        <f t="shared" si="6"/>
        <v>1.2</v>
      </c>
      <c r="Q28" s="3">
        <v>-42.857142857142861</v>
      </c>
      <c r="R28" s="14">
        <f t="shared" si="7"/>
        <v>4900</v>
      </c>
      <c r="S28">
        <f t="shared" si="0"/>
        <v>10</v>
      </c>
      <c r="T28" t="str">
        <f t="shared" si="1"/>
        <v>490:13</v>
      </c>
      <c r="U28" s="4">
        <f t="shared" si="8"/>
        <v>130</v>
      </c>
    </row>
    <row r="29" spans="1:21">
      <c r="A29">
        <v>28</v>
      </c>
      <c r="B29" t="s">
        <v>164</v>
      </c>
      <c r="C29">
        <v>87</v>
      </c>
      <c r="D29" t="s">
        <v>79</v>
      </c>
      <c r="E29" t="s">
        <v>165</v>
      </c>
      <c r="F29" t="s">
        <v>166</v>
      </c>
      <c r="G29" s="1">
        <v>6.9999999999999999E-4</v>
      </c>
      <c r="H29" t="s">
        <v>167</v>
      </c>
      <c r="I29" t="s">
        <v>168</v>
      </c>
      <c r="J29" t="s">
        <v>23</v>
      </c>
      <c r="K29" s="3">
        <f t="shared" si="2"/>
        <v>0.33613109512390088</v>
      </c>
      <c r="L29" s="7">
        <f t="shared" si="3"/>
        <v>0.42049999999999998</v>
      </c>
      <c r="M29" s="9">
        <f t="shared" si="4"/>
        <v>125.1</v>
      </c>
      <c r="N29" s="3">
        <v>0.33613109512390088</v>
      </c>
      <c r="O29" s="3">
        <f t="shared" si="5"/>
        <v>-80.570749108204524</v>
      </c>
      <c r="P29" s="11">
        <f t="shared" si="6"/>
        <v>8.1700000000000009E-2</v>
      </c>
      <c r="Q29" s="3">
        <v>-80.570749108204524</v>
      </c>
      <c r="R29" s="14">
        <f t="shared" si="7"/>
        <v>4200</v>
      </c>
      <c r="S29">
        <f t="shared" si="0"/>
        <v>25</v>
      </c>
      <c r="T29" t="str">
        <f t="shared" si="1"/>
        <v>168:5</v>
      </c>
      <c r="U29" s="4">
        <f t="shared" si="8"/>
        <v>125</v>
      </c>
    </row>
    <row r="30" spans="1:21">
      <c r="A30">
        <v>29</v>
      </c>
      <c r="B30" t="s">
        <v>169</v>
      </c>
      <c r="C30">
        <v>90</v>
      </c>
      <c r="D30" t="s">
        <v>18</v>
      </c>
      <c r="E30" t="s">
        <v>170</v>
      </c>
      <c r="F30" t="s">
        <v>171</v>
      </c>
      <c r="G30" s="1">
        <v>4.7999999999999996E-3</v>
      </c>
      <c r="H30" t="s">
        <v>172</v>
      </c>
      <c r="I30" t="s">
        <v>173</v>
      </c>
      <c r="J30" t="s">
        <v>16</v>
      </c>
      <c r="K30" s="3">
        <f t="shared" si="2"/>
        <v>0.80729335494327392</v>
      </c>
      <c r="L30" s="7">
        <f t="shared" si="3"/>
        <v>0.99620000000000009</v>
      </c>
      <c r="M30" s="9">
        <f t="shared" si="4"/>
        <v>123.4</v>
      </c>
      <c r="N30" s="3">
        <v>0.80729335494327392</v>
      </c>
      <c r="O30" s="3">
        <f t="shared" si="5"/>
        <v>-40.945593254366599</v>
      </c>
      <c r="P30" s="11">
        <f t="shared" si="6"/>
        <v>0.58829999999999993</v>
      </c>
      <c r="Q30" s="3">
        <v>-40.945593254366599</v>
      </c>
      <c r="R30" s="14">
        <f t="shared" si="7"/>
        <v>6800</v>
      </c>
      <c r="S30">
        <f t="shared" si="0"/>
        <v>1</v>
      </c>
      <c r="T30" t="str">
        <f t="shared" si="1"/>
        <v>6800:123</v>
      </c>
      <c r="U30" s="4">
        <f t="shared" si="8"/>
        <v>123</v>
      </c>
    </row>
    <row r="31" spans="1:21">
      <c r="A31">
        <v>30</v>
      </c>
      <c r="B31" t="s">
        <v>174</v>
      </c>
      <c r="C31">
        <v>85</v>
      </c>
      <c r="D31" t="s">
        <v>175</v>
      </c>
      <c r="E31" t="s">
        <v>176</v>
      </c>
      <c r="F31" t="s">
        <v>98</v>
      </c>
      <c r="G31" s="1">
        <v>1.0999999999999999E-2</v>
      </c>
      <c r="H31" t="s">
        <v>115</v>
      </c>
      <c r="I31" t="s">
        <v>177</v>
      </c>
      <c r="J31" t="s">
        <v>178</v>
      </c>
      <c r="K31" s="3">
        <f t="shared" si="2"/>
        <v>1.4214046822742477</v>
      </c>
      <c r="L31" s="7">
        <f t="shared" si="3"/>
        <v>1.7</v>
      </c>
      <c r="M31" s="9">
        <f t="shared" si="4"/>
        <v>119.6</v>
      </c>
      <c r="N31" s="3">
        <v>1.4214046822742477</v>
      </c>
      <c r="O31" s="3">
        <f t="shared" si="5"/>
        <v>-23.529411764705877</v>
      </c>
      <c r="P31" s="11">
        <f t="shared" si="6"/>
        <v>1.3</v>
      </c>
      <c r="Q31" s="3">
        <v>-23.529411764705877</v>
      </c>
      <c r="R31" s="14">
        <f t="shared" si="7"/>
        <v>9000</v>
      </c>
      <c r="S31">
        <f t="shared" si="0"/>
        <v>1</v>
      </c>
      <c r="T31" t="str">
        <f t="shared" si="1"/>
        <v>9000:119</v>
      </c>
      <c r="U31" s="4">
        <f t="shared" si="8"/>
        <v>119</v>
      </c>
    </row>
    <row r="32" spans="1:21">
      <c r="A32">
        <v>31</v>
      </c>
      <c r="B32" t="s">
        <v>179</v>
      </c>
      <c r="C32">
        <v>86</v>
      </c>
      <c r="D32" t="s">
        <v>180</v>
      </c>
      <c r="E32" t="s">
        <v>181</v>
      </c>
      <c r="F32" t="s">
        <v>182</v>
      </c>
      <c r="G32" s="1">
        <v>2.2000000000000001E-3</v>
      </c>
      <c r="H32" t="s">
        <v>183</v>
      </c>
      <c r="I32" t="s">
        <v>184</v>
      </c>
      <c r="J32" t="s">
        <v>23</v>
      </c>
      <c r="K32" s="3">
        <f t="shared" si="2"/>
        <v>0.39088607594936714</v>
      </c>
      <c r="L32" s="7">
        <f t="shared" si="3"/>
        <v>0.4632</v>
      </c>
      <c r="M32" s="9">
        <f t="shared" si="4"/>
        <v>118.5</v>
      </c>
      <c r="N32" s="3">
        <v>0.39088607594936714</v>
      </c>
      <c r="O32" s="3">
        <f t="shared" si="5"/>
        <v>-44.753886010362692</v>
      </c>
      <c r="P32" s="11">
        <f t="shared" si="6"/>
        <v>0.25590000000000002</v>
      </c>
      <c r="Q32" s="3">
        <v>-44.753886010362692</v>
      </c>
      <c r="R32" s="14">
        <f t="shared" si="7"/>
        <v>3400</v>
      </c>
      <c r="S32">
        <f t="shared" si="0"/>
        <v>2</v>
      </c>
      <c r="T32" t="str">
        <f t="shared" si="1"/>
        <v>1700:59</v>
      </c>
      <c r="U32" s="4">
        <f t="shared" si="8"/>
        <v>118</v>
      </c>
    </row>
    <row r="33" spans="1:21">
      <c r="A33">
        <v>32</v>
      </c>
      <c r="B33" t="s">
        <v>185</v>
      </c>
      <c r="C33">
        <v>90</v>
      </c>
      <c r="D33" t="s">
        <v>79</v>
      </c>
      <c r="E33" t="s">
        <v>186</v>
      </c>
      <c r="F33" t="s">
        <v>163</v>
      </c>
      <c r="G33" s="1">
        <v>6.4000000000000003E-3</v>
      </c>
      <c r="H33" t="s">
        <v>187</v>
      </c>
      <c r="I33" t="s">
        <v>188</v>
      </c>
      <c r="J33" t="s">
        <v>23</v>
      </c>
      <c r="K33" s="3">
        <f t="shared" si="2"/>
        <v>1.0771992818671452</v>
      </c>
      <c r="L33" s="7">
        <f t="shared" si="3"/>
        <v>1.2</v>
      </c>
      <c r="M33" s="9">
        <f t="shared" si="4"/>
        <v>111.4</v>
      </c>
      <c r="N33" s="3">
        <v>1.0771992818671452</v>
      </c>
      <c r="O33" s="3">
        <f t="shared" si="5"/>
        <v>-41.141666666666673</v>
      </c>
      <c r="P33" s="11">
        <f t="shared" si="6"/>
        <v>0.70629999999999993</v>
      </c>
      <c r="Q33" s="3">
        <v>-41.141666666666673</v>
      </c>
      <c r="R33" s="14">
        <f t="shared" si="7"/>
        <v>11600</v>
      </c>
      <c r="S33">
        <f t="shared" si="0"/>
        <v>1</v>
      </c>
      <c r="T33" t="str">
        <f t="shared" si="1"/>
        <v>11600:111</v>
      </c>
      <c r="U33" s="4">
        <f t="shared" si="8"/>
        <v>111</v>
      </c>
    </row>
    <row r="34" spans="1:21">
      <c r="A34">
        <v>33</v>
      </c>
      <c r="B34" t="s">
        <v>189</v>
      </c>
      <c r="C34">
        <v>73</v>
      </c>
      <c r="D34" t="s">
        <v>190</v>
      </c>
      <c r="E34" t="s">
        <v>191</v>
      </c>
      <c r="F34" t="s">
        <v>192</v>
      </c>
      <c r="G34" s="1">
        <v>5.0200000000000002E-2</v>
      </c>
      <c r="H34" t="s">
        <v>193</v>
      </c>
      <c r="I34" t="s">
        <v>194</v>
      </c>
      <c r="J34" t="s">
        <v>23</v>
      </c>
      <c r="K34" s="3">
        <f t="shared" si="2"/>
        <v>8.0798479087452471</v>
      </c>
      <c r="L34" s="7">
        <f t="shared" si="3"/>
        <v>8.5</v>
      </c>
      <c r="M34" s="9">
        <f t="shared" si="4"/>
        <v>105.2</v>
      </c>
      <c r="N34" s="3">
        <v>8.0798479087452471</v>
      </c>
      <c r="O34" s="3">
        <f t="shared" si="5"/>
        <v>-38.823529411764703</v>
      </c>
      <c r="P34" s="11">
        <f t="shared" si="6"/>
        <v>5.2</v>
      </c>
      <c r="Q34" s="3">
        <v>-38.823529411764703</v>
      </c>
      <c r="R34" s="14">
        <f t="shared" si="7"/>
        <v>5900</v>
      </c>
      <c r="S34">
        <f t="shared" ref="S34:S65" si="9">GCD(U34,R34)</f>
        <v>5</v>
      </c>
      <c r="T34" t="str">
        <f t="shared" ref="T34:T65" si="10">R34/S34&amp;":"&amp;U34/S34</f>
        <v>1180:21</v>
      </c>
      <c r="U34" s="4">
        <f t="shared" si="8"/>
        <v>105</v>
      </c>
    </row>
    <row r="35" spans="1:21">
      <c r="A35">
        <v>34</v>
      </c>
      <c r="B35" t="s">
        <v>195</v>
      </c>
      <c r="C35">
        <v>74</v>
      </c>
      <c r="D35" t="s">
        <v>196</v>
      </c>
      <c r="E35" t="s">
        <v>197</v>
      </c>
      <c r="F35" t="s">
        <v>108</v>
      </c>
      <c r="G35" s="1">
        <v>1.26E-2</v>
      </c>
      <c r="H35" t="s">
        <v>153</v>
      </c>
      <c r="I35" t="s">
        <v>198</v>
      </c>
      <c r="J35" t="s">
        <v>199</v>
      </c>
      <c r="K35" s="3">
        <f t="shared" si="2"/>
        <v>2.4447031431897552</v>
      </c>
      <c r="L35" s="7">
        <f t="shared" si="3"/>
        <v>2.1</v>
      </c>
      <c r="M35" s="9">
        <f t="shared" si="4"/>
        <v>85.9</v>
      </c>
      <c r="N35" s="3">
        <v>2.4447031431897552</v>
      </c>
      <c r="O35" s="3">
        <f t="shared" si="5"/>
        <v>-47.619047619047613</v>
      </c>
      <c r="P35" s="11">
        <f t="shared" si="6"/>
        <v>1.1000000000000001</v>
      </c>
      <c r="Q35" s="3">
        <v>-47.619047619047613</v>
      </c>
      <c r="R35" s="14">
        <f t="shared" si="7"/>
        <v>2600</v>
      </c>
      <c r="S35">
        <f t="shared" si="9"/>
        <v>5</v>
      </c>
      <c r="T35" t="str">
        <f t="shared" si="10"/>
        <v>520:17</v>
      </c>
      <c r="U35" s="4">
        <f t="shared" si="8"/>
        <v>85</v>
      </c>
    </row>
    <row r="36" spans="1:21">
      <c r="A36">
        <v>35</v>
      </c>
      <c r="B36" t="s">
        <v>200</v>
      </c>
      <c r="C36">
        <v>85</v>
      </c>
      <c r="D36" t="s">
        <v>201</v>
      </c>
      <c r="E36" t="s">
        <v>202</v>
      </c>
      <c r="F36" t="s">
        <v>99</v>
      </c>
      <c r="G36" s="1">
        <v>6.8999999999999999E-3</v>
      </c>
      <c r="H36" t="s">
        <v>203</v>
      </c>
      <c r="I36" t="s">
        <v>204</v>
      </c>
      <c r="J36" t="s">
        <v>23</v>
      </c>
      <c r="K36" s="3">
        <f t="shared" si="2"/>
        <v>1.6355140186915886</v>
      </c>
      <c r="L36" s="7">
        <f t="shared" si="3"/>
        <v>1.4</v>
      </c>
      <c r="M36" s="9">
        <f t="shared" si="4"/>
        <v>85.6</v>
      </c>
      <c r="N36" s="3">
        <v>1.6355140186915886</v>
      </c>
      <c r="O36" s="3">
        <f t="shared" si="5"/>
        <v>-58.107142857142854</v>
      </c>
      <c r="P36" s="11">
        <f t="shared" si="6"/>
        <v>0.58650000000000002</v>
      </c>
      <c r="Q36" s="3">
        <v>-58.107142857142854</v>
      </c>
      <c r="R36" s="14">
        <f t="shared" si="7"/>
        <v>2300</v>
      </c>
      <c r="S36">
        <f t="shared" si="9"/>
        <v>5</v>
      </c>
      <c r="T36" t="str">
        <f t="shared" si="10"/>
        <v>460:17</v>
      </c>
      <c r="U36" s="4">
        <f t="shared" si="8"/>
        <v>85</v>
      </c>
    </row>
    <row r="37" spans="1:21">
      <c r="A37">
        <v>36</v>
      </c>
      <c r="B37" t="s">
        <v>205</v>
      </c>
      <c r="C37">
        <v>88</v>
      </c>
      <c r="D37" t="s">
        <v>31</v>
      </c>
      <c r="E37" t="s">
        <v>206</v>
      </c>
      <c r="F37" t="s">
        <v>99</v>
      </c>
      <c r="G37" s="1">
        <v>6.0000000000000001E-3</v>
      </c>
      <c r="H37" t="s">
        <v>207</v>
      </c>
      <c r="I37" t="s">
        <v>208</v>
      </c>
      <c r="J37" t="s">
        <v>23</v>
      </c>
      <c r="K37" s="3">
        <f t="shared" si="2"/>
        <v>1.7010935601458079</v>
      </c>
      <c r="L37" s="7">
        <f t="shared" si="3"/>
        <v>1.4</v>
      </c>
      <c r="M37" s="9">
        <f t="shared" si="4"/>
        <v>82.3</v>
      </c>
      <c r="N37" s="3">
        <v>1.7010935601458079</v>
      </c>
      <c r="O37" s="3">
        <f t="shared" si="5"/>
        <v>-65.55</v>
      </c>
      <c r="P37" s="11">
        <f t="shared" si="6"/>
        <v>0.48230000000000001</v>
      </c>
      <c r="Q37" s="3">
        <v>-65.55</v>
      </c>
      <c r="R37" s="14">
        <f t="shared" si="7"/>
        <v>2500</v>
      </c>
      <c r="S37">
        <f t="shared" si="9"/>
        <v>2</v>
      </c>
      <c r="T37" t="str">
        <f t="shared" si="10"/>
        <v>1250:41</v>
      </c>
      <c r="U37" s="4">
        <f t="shared" si="8"/>
        <v>82</v>
      </c>
    </row>
    <row r="38" spans="1:21">
      <c r="A38">
        <v>37</v>
      </c>
      <c r="B38" t="s">
        <v>209</v>
      </c>
      <c r="C38">
        <v>88</v>
      </c>
      <c r="D38" t="s">
        <v>210</v>
      </c>
      <c r="E38" t="s">
        <v>211</v>
      </c>
      <c r="F38" t="s">
        <v>163</v>
      </c>
      <c r="G38" s="1">
        <v>1.5299999999999999E-2</v>
      </c>
      <c r="H38" t="s">
        <v>163</v>
      </c>
      <c r="I38" t="s">
        <v>168</v>
      </c>
      <c r="J38" t="s">
        <v>23</v>
      </c>
      <c r="K38" s="3">
        <f t="shared" si="2"/>
        <v>1.4760147601476015</v>
      </c>
      <c r="L38" s="7">
        <f t="shared" si="3"/>
        <v>1.2</v>
      </c>
      <c r="M38" s="9">
        <f t="shared" si="4"/>
        <v>81.3</v>
      </c>
      <c r="N38" s="3">
        <v>1.4760147601476015</v>
      </c>
      <c r="O38" s="3">
        <f t="shared" si="5"/>
        <v>0</v>
      </c>
      <c r="P38" s="11">
        <f t="shared" si="6"/>
        <v>1.2</v>
      </c>
      <c r="Q38" s="3">
        <v>0</v>
      </c>
      <c r="R38" s="14">
        <f t="shared" si="7"/>
        <v>4200</v>
      </c>
      <c r="S38">
        <f t="shared" si="9"/>
        <v>3</v>
      </c>
      <c r="T38" t="str">
        <f t="shared" si="10"/>
        <v>1400:27</v>
      </c>
      <c r="U38" s="4">
        <f t="shared" si="8"/>
        <v>81</v>
      </c>
    </row>
    <row r="39" spans="1:21">
      <c r="A39">
        <v>38</v>
      </c>
      <c r="B39" t="s">
        <v>212</v>
      </c>
      <c r="C39">
        <v>85</v>
      </c>
      <c r="D39" t="s">
        <v>210</v>
      </c>
      <c r="E39" t="s">
        <v>213</v>
      </c>
      <c r="F39" t="s">
        <v>214</v>
      </c>
      <c r="G39" s="1">
        <v>0.01</v>
      </c>
      <c r="H39" t="s">
        <v>215</v>
      </c>
      <c r="I39" t="s">
        <v>216</v>
      </c>
      <c r="J39" t="s">
        <v>23</v>
      </c>
      <c r="K39" s="3">
        <f t="shared" si="2"/>
        <v>1.9728729963008635</v>
      </c>
      <c r="L39" s="7">
        <f t="shared" si="3"/>
        <v>1.6</v>
      </c>
      <c r="M39" s="9">
        <f t="shared" si="4"/>
        <v>81.099999999999994</v>
      </c>
      <c r="N39" s="3">
        <v>1.9728729963008635</v>
      </c>
      <c r="O39" s="3">
        <f t="shared" si="5"/>
        <v>-49.818750000000009</v>
      </c>
      <c r="P39" s="11">
        <f t="shared" si="6"/>
        <v>0.80289999999999995</v>
      </c>
      <c r="Q39" s="3">
        <v>-49.818750000000009</v>
      </c>
      <c r="R39" s="14">
        <f t="shared" si="7"/>
        <v>5600</v>
      </c>
      <c r="S39">
        <f t="shared" si="9"/>
        <v>1</v>
      </c>
      <c r="T39" t="str">
        <f t="shared" si="10"/>
        <v>5600:81</v>
      </c>
      <c r="U39" s="4">
        <f t="shared" si="8"/>
        <v>81</v>
      </c>
    </row>
    <row r="40" spans="1:21">
      <c r="A40">
        <v>39</v>
      </c>
      <c r="B40" t="s">
        <v>217</v>
      </c>
      <c r="C40">
        <v>70</v>
      </c>
      <c r="D40" t="s">
        <v>218</v>
      </c>
      <c r="E40" t="s">
        <v>219</v>
      </c>
      <c r="F40" t="s">
        <v>142</v>
      </c>
      <c r="G40" s="1">
        <v>0.09</v>
      </c>
      <c r="H40" t="s">
        <v>220</v>
      </c>
      <c r="I40" t="s">
        <v>221</v>
      </c>
      <c r="J40" t="s">
        <v>892</v>
      </c>
      <c r="K40" s="3">
        <f t="shared" si="2"/>
        <v>7.1693448702101357</v>
      </c>
      <c r="L40" s="7">
        <f t="shared" si="3"/>
        <v>5.8</v>
      </c>
      <c r="M40" s="9">
        <f t="shared" si="4"/>
        <v>80.900000000000006</v>
      </c>
      <c r="N40" s="3">
        <v>7.1693448702101357</v>
      </c>
      <c r="O40" s="3">
        <f t="shared" si="5"/>
        <v>24.137931034482765</v>
      </c>
      <c r="P40" s="11">
        <f t="shared" si="6"/>
        <v>7.2</v>
      </c>
      <c r="Q40" s="3">
        <v>24.137931034482765</v>
      </c>
      <c r="R40" s="14">
        <f t="shared" si="7"/>
        <v>5100</v>
      </c>
      <c r="S40">
        <f t="shared" si="9"/>
        <v>20</v>
      </c>
      <c r="T40" t="str">
        <f t="shared" si="10"/>
        <v>255:4</v>
      </c>
      <c r="U40" s="4">
        <f t="shared" si="8"/>
        <v>80</v>
      </c>
    </row>
    <row r="41" spans="1:21">
      <c r="A41">
        <v>40</v>
      </c>
      <c r="B41" t="s">
        <v>222</v>
      </c>
      <c r="C41">
        <v>88</v>
      </c>
      <c r="D41" t="s">
        <v>55</v>
      </c>
      <c r="E41" t="s">
        <v>223</v>
      </c>
      <c r="F41" t="s">
        <v>224</v>
      </c>
      <c r="G41" s="1">
        <v>4.1000000000000003E-3</v>
      </c>
      <c r="H41" t="s">
        <v>225</v>
      </c>
      <c r="I41" t="s">
        <v>226</v>
      </c>
      <c r="J41" t="s">
        <v>337</v>
      </c>
      <c r="K41" s="3">
        <f t="shared" si="2"/>
        <v>1.2813403416557163</v>
      </c>
      <c r="L41" s="7">
        <f t="shared" si="3"/>
        <v>0.97510000000000008</v>
      </c>
      <c r="M41" s="9">
        <f t="shared" si="4"/>
        <v>76.099999999999994</v>
      </c>
      <c r="N41" s="3">
        <v>1.2813403416557163</v>
      </c>
      <c r="O41" s="3">
        <f t="shared" si="5"/>
        <v>-68.751922879704651</v>
      </c>
      <c r="P41" s="11">
        <f t="shared" si="6"/>
        <v>0.30469999999999997</v>
      </c>
      <c r="Q41" s="3">
        <v>-68.751922879704651</v>
      </c>
      <c r="R41" s="14">
        <f t="shared" si="7"/>
        <v>1900</v>
      </c>
      <c r="S41">
        <f t="shared" si="9"/>
        <v>76</v>
      </c>
      <c r="T41" t="str">
        <f t="shared" si="10"/>
        <v>25:1</v>
      </c>
      <c r="U41" s="4">
        <f t="shared" si="8"/>
        <v>76</v>
      </c>
    </row>
    <row r="42" spans="1:21">
      <c r="A42">
        <v>41</v>
      </c>
      <c r="B42" t="s">
        <v>227</v>
      </c>
      <c r="C42">
        <v>86</v>
      </c>
      <c r="D42" t="s">
        <v>79</v>
      </c>
      <c r="E42" t="s">
        <v>228</v>
      </c>
      <c r="F42" t="s">
        <v>229</v>
      </c>
      <c r="G42" s="1">
        <v>1.6999999999999999E-3</v>
      </c>
      <c r="H42" t="s">
        <v>230</v>
      </c>
      <c r="I42" t="s">
        <v>231</v>
      </c>
      <c r="J42" t="s">
        <v>23</v>
      </c>
      <c r="K42" s="3">
        <f t="shared" si="2"/>
        <v>0.27051792828685256</v>
      </c>
      <c r="L42" s="7">
        <f t="shared" si="3"/>
        <v>0.20369999999999999</v>
      </c>
      <c r="M42" s="9">
        <f t="shared" si="4"/>
        <v>75.3</v>
      </c>
      <c r="N42" s="3">
        <v>0.27051792828685256</v>
      </c>
      <c r="O42" s="3">
        <f t="shared" si="5"/>
        <v>-38.242513500245458</v>
      </c>
      <c r="P42" s="11">
        <f t="shared" si="6"/>
        <v>0.1258</v>
      </c>
      <c r="Q42" s="3">
        <v>-38.242513500245458</v>
      </c>
      <c r="R42" s="14">
        <f t="shared" si="7"/>
        <v>2000</v>
      </c>
      <c r="S42">
        <f t="shared" si="9"/>
        <v>25</v>
      </c>
      <c r="T42" t="str">
        <f t="shared" si="10"/>
        <v>80:3</v>
      </c>
      <c r="U42" s="4">
        <f t="shared" si="8"/>
        <v>75</v>
      </c>
    </row>
    <row r="43" spans="1:21">
      <c r="A43">
        <v>42</v>
      </c>
      <c r="B43" t="s">
        <v>232</v>
      </c>
      <c r="C43">
        <v>85</v>
      </c>
      <c r="D43" t="s">
        <v>11</v>
      </c>
      <c r="E43" t="s">
        <v>228</v>
      </c>
      <c r="F43" t="s">
        <v>233</v>
      </c>
      <c r="G43" s="1">
        <v>2.5600000000000001E-2</v>
      </c>
      <c r="H43" t="s">
        <v>39</v>
      </c>
      <c r="I43" t="s">
        <v>234</v>
      </c>
      <c r="J43" t="s">
        <v>23</v>
      </c>
      <c r="K43" s="3">
        <f t="shared" si="2"/>
        <v>3.3200531208499333</v>
      </c>
      <c r="L43" s="7">
        <f t="shared" si="3"/>
        <v>2.5</v>
      </c>
      <c r="M43" s="9">
        <f t="shared" si="4"/>
        <v>75.3</v>
      </c>
      <c r="N43" s="3">
        <v>3.3200531208499333</v>
      </c>
      <c r="O43" s="3">
        <f t="shared" si="5"/>
        <v>-24.000000000000004</v>
      </c>
      <c r="P43" s="11">
        <f t="shared" si="6"/>
        <v>1.9</v>
      </c>
      <c r="Q43" s="3">
        <v>-24.000000000000004</v>
      </c>
      <c r="R43" s="14">
        <f t="shared" si="7"/>
        <v>8200</v>
      </c>
      <c r="S43">
        <f t="shared" si="9"/>
        <v>25</v>
      </c>
      <c r="T43" t="str">
        <f t="shared" si="10"/>
        <v>328:3</v>
      </c>
      <c r="U43" s="4">
        <f t="shared" si="8"/>
        <v>75</v>
      </c>
    </row>
    <row r="44" spans="1:21">
      <c r="A44">
        <v>43</v>
      </c>
      <c r="B44" t="s">
        <v>235</v>
      </c>
      <c r="C44">
        <v>86</v>
      </c>
      <c r="D44" t="s">
        <v>236</v>
      </c>
      <c r="E44" t="s">
        <v>237</v>
      </c>
      <c r="F44" t="s">
        <v>163</v>
      </c>
      <c r="G44" s="1">
        <v>4.5999999999999999E-3</v>
      </c>
      <c r="H44" t="s">
        <v>238</v>
      </c>
      <c r="I44" t="s">
        <v>226</v>
      </c>
      <c r="J44" t="s">
        <v>23</v>
      </c>
      <c r="K44" s="3">
        <f t="shared" si="2"/>
        <v>1.6021361815754336</v>
      </c>
      <c r="L44" s="7">
        <f t="shared" si="3"/>
        <v>1.2</v>
      </c>
      <c r="M44" s="9">
        <f t="shared" si="4"/>
        <v>74.900000000000006</v>
      </c>
      <c r="N44" s="3">
        <v>1.6021361815754336</v>
      </c>
      <c r="O44" s="3">
        <f t="shared" si="5"/>
        <v>-71.591666666666669</v>
      </c>
      <c r="P44" s="11">
        <f t="shared" si="6"/>
        <v>0.34089999999999998</v>
      </c>
      <c r="Q44" s="3">
        <v>-71.591666666666669</v>
      </c>
      <c r="R44" s="14">
        <f t="shared" si="7"/>
        <v>1900</v>
      </c>
      <c r="S44">
        <f t="shared" si="9"/>
        <v>2</v>
      </c>
      <c r="T44" t="str">
        <f t="shared" si="10"/>
        <v>950:37</v>
      </c>
      <c r="U44" s="4">
        <f t="shared" si="8"/>
        <v>74</v>
      </c>
    </row>
    <row r="45" spans="1:21">
      <c r="A45">
        <v>44</v>
      </c>
      <c r="B45" t="s">
        <v>239</v>
      </c>
      <c r="C45">
        <v>81</v>
      </c>
      <c r="D45" t="s">
        <v>240</v>
      </c>
      <c r="E45" t="s">
        <v>241</v>
      </c>
      <c r="F45" t="s">
        <v>214</v>
      </c>
      <c r="G45" s="1">
        <v>1.17E-2</v>
      </c>
      <c r="H45" t="s">
        <v>242</v>
      </c>
      <c r="I45" t="s">
        <v>83</v>
      </c>
      <c r="J45" t="s">
        <v>256</v>
      </c>
      <c r="K45" s="3">
        <f t="shared" si="2"/>
        <v>2.1650879566982408</v>
      </c>
      <c r="L45" s="7">
        <f t="shared" si="3"/>
        <v>1.6</v>
      </c>
      <c r="M45" s="9">
        <f t="shared" si="4"/>
        <v>73.900000000000006</v>
      </c>
      <c r="N45" s="3">
        <v>2.1650879566982408</v>
      </c>
      <c r="O45" s="3">
        <f t="shared" si="5"/>
        <v>-46.256250000000001</v>
      </c>
      <c r="P45" s="11">
        <f t="shared" si="6"/>
        <v>0.8599</v>
      </c>
      <c r="Q45" s="3">
        <v>-46.256250000000001</v>
      </c>
      <c r="R45" s="14">
        <f t="shared" si="7"/>
        <v>3000</v>
      </c>
      <c r="S45">
        <f t="shared" si="9"/>
        <v>1</v>
      </c>
      <c r="T45" t="str">
        <f t="shared" si="10"/>
        <v>3000:73</v>
      </c>
      <c r="U45" s="4">
        <f t="shared" si="8"/>
        <v>73</v>
      </c>
    </row>
    <row r="46" spans="1:21">
      <c r="A46">
        <v>45</v>
      </c>
      <c r="B46" t="s">
        <v>243</v>
      </c>
      <c r="C46">
        <v>88</v>
      </c>
      <c r="D46" t="s">
        <v>244</v>
      </c>
      <c r="E46" t="s">
        <v>245</v>
      </c>
      <c r="F46" t="s">
        <v>246</v>
      </c>
      <c r="G46" s="1">
        <v>4.0000000000000002E-4</v>
      </c>
      <c r="H46" t="s">
        <v>247</v>
      </c>
      <c r="I46" t="s">
        <v>248</v>
      </c>
      <c r="J46" t="s">
        <v>23</v>
      </c>
      <c r="K46" s="3">
        <f t="shared" si="2"/>
        <v>0.20081967213114751</v>
      </c>
      <c r="L46" s="7">
        <f t="shared" si="3"/>
        <v>0.14699999999999999</v>
      </c>
      <c r="M46" s="9">
        <f t="shared" si="4"/>
        <v>73.2</v>
      </c>
      <c r="N46" s="3">
        <v>0.20081967213114751</v>
      </c>
      <c r="O46" s="3">
        <f t="shared" si="5"/>
        <v>-79.72789115646259</v>
      </c>
      <c r="P46" s="11">
        <f t="shared" si="6"/>
        <v>2.98E-2</v>
      </c>
      <c r="Q46" s="3">
        <v>-79.72789115646259</v>
      </c>
      <c r="R46" s="14">
        <f t="shared" si="7"/>
        <v>423.5</v>
      </c>
      <c r="S46">
        <f t="shared" si="9"/>
        <v>1</v>
      </c>
      <c r="T46" t="str">
        <f t="shared" si="10"/>
        <v>423.5:73</v>
      </c>
      <c r="U46" s="4">
        <f t="shared" si="8"/>
        <v>73</v>
      </c>
    </row>
    <row r="47" spans="1:21">
      <c r="A47">
        <v>46</v>
      </c>
      <c r="B47" t="s">
        <v>249</v>
      </c>
      <c r="C47">
        <v>86</v>
      </c>
      <c r="D47" t="s">
        <v>118</v>
      </c>
      <c r="E47" t="s">
        <v>250</v>
      </c>
      <c r="F47" t="s">
        <v>233</v>
      </c>
      <c r="G47" s="1">
        <v>2.1600000000000001E-2</v>
      </c>
      <c r="H47" t="s">
        <v>214</v>
      </c>
      <c r="I47" t="s">
        <v>251</v>
      </c>
      <c r="J47" t="s">
        <v>16</v>
      </c>
      <c r="K47" s="3">
        <f t="shared" si="2"/>
        <v>3.4387895460797799</v>
      </c>
      <c r="L47" s="7">
        <f t="shared" si="3"/>
        <v>2.5</v>
      </c>
      <c r="M47" s="9">
        <f t="shared" si="4"/>
        <v>72.7</v>
      </c>
      <c r="N47" s="3">
        <v>3.4387895460797799</v>
      </c>
      <c r="O47" s="3">
        <f t="shared" si="5"/>
        <v>-36</v>
      </c>
      <c r="P47" s="11">
        <f t="shared" si="6"/>
        <v>1.6</v>
      </c>
      <c r="Q47" s="3">
        <v>-36</v>
      </c>
      <c r="R47" s="14">
        <f t="shared" si="7"/>
        <v>2800</v>
      </c>
      <c r="S47">
        <f t="shared" si="9"/>
        <v>8</v>
      </c>
      <c r="T47" t="str">
        <f t="shared" si="10"/>
        <v>350:9</v>
      </c>
      <c r="U47" s="4">
        <f t="shared" si="8"/>
        <v>72</v>
      </c>
    </row>
    <row r="48" spans="1:21">
      <c r="A48">
        <v>47</v>
      </c>
      <c r="B48" t="s">
        <v>252</v>
      </c>
      <c r="C48">
        <v>84</v>
      </c>
      <c r="D48" t="s">
        <v>161</v>
      </c>
      <c r="E48" t="s">
        <v>253</v>
      </c>
      <c r="F48" t="s">
        <v>69</v>
      </c>
      <c r="G48" s="1">
        <v>5.4000000000000003E-3</v>
      </c>
      <c r="H48" t="s">
        <v>254</v>
      </c>
      <c r="I48" t="s">
        <v>255</v>
      </c>
      <c r="J48" t="s">
        <v>256</v>
      </c>
      <c r="K48" s="3">
        <f t="shared" si="2"/>
        <v>2.1306818181818179</v>
      </c>
      <c r="L48" s="7">
        <f t="shared" si="3"/>
        <v>1.5</v>
      </c>
      <c r="M48" s="9">
        <f t="shared" si="4"/>
        <v>70.400000000000006</v>
      </c>
      <c r="N48" s="3">
        <v>2.1306818181818179</v>
      </c>
      <c r="O48" s="3">
        <f t="shared" si="5"/>
        <v>-75.326666666666668</v>
      </c>
      <c r="P48" s="11">
        <f t="shared" si="6"/>
        <v>0.37010000000000004</v>
      </c>
      <c r="Q48" s="3">
        <v>-75.326666666666668</v>
      </c>
      <c r="R48" s="14">
        <f t="shared" si="7"/>
        <v>3500</v>
      </c>
      <c r="S48">
        <f t="shared" si="9"/>
        <v>70</v>
      </c>
      <c r="T48" t="str">
        <f t="shared" si="10"/>
        <v>50:1</v>
      </c>
      <c r="U48" s="4">
        <f t="shared" si="8"/>
        <v>70</v>
      </c>
    </row>
    <row r="49" spans="1:21">
      <c r="A49">
        <v>48</v>
      </c>
      <c r="B49" t="s">
        <v>257</v>
      </c>
      <c r="C49">
        <v>87</v>
      </c>
      <c r="D49" t="s">
        <v>258</v>
      </c>
      <c r="E49" t="s">
        <v>259</v>
      </c>
      <c r="F49" t="s">
        <v>260</v>
      </c>
      <c r="G49" s="1">
        <v>2.8E-3</v>
      </c>
      <c r="H49" t="s">
        <v>261</v>
      </c>
      <c r="I49" t="s">
        <v>262</v>
      </c>
      <c r="J49" t="s">
        <v>23</v>
      </c>
      <c r="K49" s="3">
        <f t="shared" si="2"/>
        <v>0.52895863052781744</v>
      </c>
      <c r="L49" s="7">
        <f t="shared" si="3"/>
        <v>0.37080000000000002</v>
      </c>
      <c r="M49" s="9">
        <f t="shared" si="4"/>
        <v>70.099999999999994</v>
      </c>
      <c r="N49" s="3">
        <v>0.52895863052781744</v>
      </c>
      <c r="O49" s="3">
        <f t="shared" si="5"/>
        <v>-46.898597626752967</v>
      </c>
      <c r="P49" s="11">
        <f t="shared" si="6"/>
        <v>0.19690000000000002</v>
      </c>
      <c r="Q49" s="3">
        <v>-46.898597626752967</v>
      </c>
      <c r="R49" s="14">
        <f t="shared" si="7"/>
        <v>4800</v>
      </c>
      <c r="S49">
        <f t="shared" si="9"/>
        <v>10</v>
      </c>
      <c r="T49" t="str">
        <f t="shared" si="10"/>
        <v>480:7</v>
      </c>
      <c r="U49" s="4">
        <f t="shared" si="8"/>
        <v>70</v>
      </c>
    </row>
    <row r="50" spans="1:21">
      <c r="A50">
        <v>49</v>
      </c>
      <c r="B50" t="s">
        <v>263</v>
      </c>
      <c r="C50">
        <v>83</v>
      </c>
      <c r="D50" t="s">
        <v>264</v>
      </c>
      <c r="E50" t="s">
        <v>265</v>
      </c>
      <c r="F50" t="s">
        <v>45</v>
      </c>
      <c r="G50" s="1">
        <v>2.87E-2</v>
      </c>
      <c r="H50" t="s">
        <v>58</v>
      </c>
      <c r="I50" t="s">
        <v>266</v>
      </c>
      <c r="J50" t="s">
        <v>71</v>
      </c>
      <c r="K50" s="3">
        <f t="shared" si="2"/>
        <v>5.007153075822603</v>
      </c>
      <c r="L50" s="7">
        <f t="shared" si="3"/>
        <v>3.5</v>
      </c>
      <c r="M50" s="9">
        <f t="shared" si="4"/>
        <v>69.900000000000006</v>
      </c>
      <c r="N50" s="3">
        <v>5.007153075822603</v>
      </c>
      <c r="O50" s="3">
        <f t="shared" si="5"/>
        <v>-42.857142857142854</v>
      </c>
      <c r="P50" s="11">
        <f t="shared" si="6"/>
        <v>2</v>
      </c>
      <c r="Q50" s="3">
        <v>-42.857142857142854</v>
      </c>
      <c r="R50" s="14">
        <f t="shared" si="7"/>
        <v>8800</v>
      </c>
      <c r="S50">
        <f t="shared" si="9"/>
        <v>1</v>
      </c>
      <c r="T50" t="str">
        <f t="shared" si="10"/>
        <v>8800:69</v>
      </c>
      <c r="U50" s="4">
        <f t="shared" si="8"/>
        <v>69</v>
      </c>
    </row>
    <row r="51" spans="1:21">
      <c r="A51">
        <v>50</v>
      </c>
      <c r="B51" t="s">
        <v>267</v>
      </c>
      <c r="C51">
        <v>76</v>
      </c>
      <c r="D51" t="s">
        <v>268</v>
      </c>
      <c r="E51" t="s">
        <v>269</v>
      </c>
      <c r="F51" t="s">
        <v>76</v>
      </c>
      <c r="G51" s="1">
        <v>8.3599999999999994E-2</v>
      </c>
      <c r="H51" t="s">
        <v>270</v>
      </c>
      <c r="I51" t="s">
        <v>271</v>
      </c>
      <c r="J51" t="s">
        <v>892</v>
      </c>
      <c r="K51" s="3">
        <f t="shared" si="2"/>
        <v>7.4020319303338162</v>
      </c>
      <c r="L51" s="7">
        <f t="shared" si="3"/>
        <v>5.0999999999999996</v>
      </c>
      <c r="M51" s="9">
        <f t="shared" si="4"/>
        <v>68.900000000000006</v>
      </c>
      <c r="N51" s="3">
        <v>7.4020319303338162</v>
      </c>
      <c r="O51" s="3">
        <f t="shared" si="5"/>
        <v>11.764705882352953</v>
      </c>
      <c r="P51" s="11">
        <f t="shared" si="6"/>
        <v>5.7</v>
      </c>
      <c r="Q51" s="3">
        <v>11.764705882352953</v>
      </c>
      <c r="R51" s="14">
        <f t="shared" si="7"/>
        <v>4400</v>
      </c>
      <c r="S51">
        <f t="shared" si="9"/>
        <v>4</v>
      </c>
      <c r="T51" t="str">
        <f t="shared" si="10"/>
        <v>1100:17</v>
      </c>
      <c r="U51" s="4">
        <f t="shared" si="8"/>
        <v>68</v>
      </c>
    </row>
    <row r="52" spans="1:21">
      <c r="A52">
        <v>51</v>
      </c>
      <c r="B52" t="s">
        <v>272</v>
      </c>
      <c r="C52">
        <v>85</v>
      </c>
      <c r="D52" t="s">
        <v>273</v>
      </c>
      <c r="E52" t="s">
        <v>269</v>
      </c>
      <c r="F52" t="s">
        <v>46</v>
      </c>
      <c r="G52" s="1">
        <v>3.0099999999999998E-2</v>
      </c>
      <c r="H52" t="s">
        <v>58</v>
      </c>
      <c r="I52" t="s">
        <v>121</v>
      </c>
      <c r="J52" t="s">
        <v>256</v>
      </c>
      <c r="K52" s="3">
        <f t="shared" si="2"/>
        <v>4.2089985486211896</v>
      </c>
      <c r="L52" s="7">
        <f t="shared" si="3"/>
        <v>2.9</v>
      </c>
      <c r="M52" s="9">
        <f t="shared" si="4"/>
        <v>68.900000000000006</v>
      </c>
      <c r="N52" s="3">
        <v>4.2089985486211896</v>
      </c>
      <c r="O52" s="3">
        <f t="shared" si="5"/>
        <v>-31.034482758620683</v>
      </c>
      <c r="P52" s="11">
        <f t="shared" si="6"/>
        <v>2</v>
      </c>
      <c r="Q52" s="3">
        <v>-31.034482758620683</v>
      </c>
      <c r="R52" s="14">
        <f t="shared" si="7"/>
        <v>1600</v>
      </c>
      <c r="S52">
        <f t="shared" si="9"/>
        <v>4</v>
      </c>
      <c r="T52" t="str">
        <f t="shared" si="10"/>
        <v>400:17</v>
      </c>
      <c r="U52" s="4">
        <f t="shared" si="8"/>
        <v>68</v>
      </c>
    </row>
    <row r="53" spans="1:21">
      <c r="A53">
        <v>52</v>
      </c>
      <c r="B53" t="s">
        <v>274</v>
      </c>
      <c r="C53">
        <v>82</v>
      </c>
      <c r="D53" t="s">
        <v>31</v>
      </c>
      <c r="E53" t="s">
        <v>275</v>
      </c>
      <c r="F53" t="s">
        <v>114</v>
      </c>
      <c r="G53" s="1">
        <v>3.1399999999999997E-2</v>
      </c>
      <c r="H53" t="s">
        <v>108</v>
      </c>
      <c r="I53" t="s">
        <v>276</v>
      </c>
      <c r="J53" t="s">
        <v>256</v>
      </c>
      <c r="K53" s="3">
        <f t="shared" si="2"/>
        <v>2.6200873362445414</v>
      </c>
      <c r="L53" s="7">
        <f t="shared" si="3"/>
        <v>1.8</v>
      </c>
      <c r="M53" s="9">
        <f t="shared" si="4"/>
        <v>68.7</v>
      </c>
      <c r="N53" s="3">
        <v>2.6200873362445414</v>
      </c>
      <c r="O53" s="3">
        <f t="shared" si="5"/>
        <v>16.666666666666668</v>
      </c>
      <c r="P53" s="11">
        <f t="shared" si="6"/>
        <v>2.1</v>
      </c>
      <c r="Q53" s="3">
        <v>16.666666666666668</v>
      </c>
      <c r="R53" s="14">
        <f t="shared" si="7"/>
        <v>3300</v>
      </c>
      <c r="S53">
        <f t="shared" si="9"/>
        <v>4</v>
      </c>
      <c r="T53" t="str">
        <f t="shared" si="10"/>
        <v>825:17</v>
      </c>
      <c r="U53" s="4">
        <f t="shared" si="8"/>
        <v>68</v>
      </c>
    </row>
    <row r="54" spans="1:21">
      <c r="A54">
        <v>53</v>
      </c>
      <c r="B54" t="s">
        <v>277</v>
      </c>
      <c r="C54">
        <v>83</v>
      </c>
      <c r="D54" t="s">
        <v>278</v>
      </c>
      <c r="E54" t="s">
        <v>279</v>
      </c>
      <c r="F54" t="s">
        <v>214</v>
      </c>
      <c r="G54" s="1">
        <v>2.23E-2</v>
      </c>
      <c r="H54" t="s">
        <v>69</v>
      </c>
      <c r="I54" t="s">
        <v>280</v>
      </c>
      <c r="J54" t="s">
        <v>256</v>
      </c>
      <c r="K54" s="3">
        <f t="shared" si="2"/>
        <v>2.3391812865497075</v>
      </c>
      <c r="L54" s="7">
        <f t="shared" si="3"/>
        <v>1.6</v>
      </c>
      <c r="M54" s="9">
        <f t="shared" si="4"/>
        <v>68.400000000000006</v>
      </c>
      <c r="N54" s="3">
        <v>2.3391812865497075</v>
      </c>
      <c r="O54" s="3">
        <f t="shared" si="5"/>
        <v>-6.2500000000000053</v>
      </c>
      <c r="P54" s="11">
        <f t="shared" si="6"/>
        <v>1.5</v>
      </c>
      <c r="Q54" s="3">
        <v>-6.2500000000000053</v>
      </c>
      <c r="R54" s="14">
        <f t="shared" si="7"/>
        <v>419</v>
      </c>
      <c r="S54">
        <f t="shared" si="9"/>
        <v>1</v>
      </c>
      <c r="T54" t="str">
        <f t="shared" si="10"/>
        <v>419:68</v>
      </c>
      <c r="U54" s="4">
        <f t="shared" si="8"/>
        <v>68</v>
      </c>
    </row>
    <row r="55" spans="1:21">
      <c r="A55">
        <v>54</v>
      </c>
      <c r="B55" t="s">
        <v>281</v>
      </c>
      <c r="C55">
        <v>77</v>
      </c>
      <c r="D55" t="s">
        <v>118</v>
      </c>
      <c r="E55" t="s">
        <v>282</v>
      </c>
      <c r="F55" t="s">
        <v>283</v>
      </c>
      <c r="G55" s="1">
        <v>0.10829999999999999</v>
      </c>
      <c r="H55" t="s">
        <v>284</v>
      </c>
      <c r="I55" t="s">
        <v>285</v>
      </c>
      <c r="J55" t="s">
        <v>199</v>
      </c>
      <c r="K55" s="3">
        <f t="shared" si="2"/>
        <v>7.9763663220088628</v>
      </c>
      <c r="L55" s="7">
        <f t="shared" si="3"/>
        <v>5.4</v>
      </c>
      <c r="M55" s="9">
        <f t="shared" si="4"/>
        <v>67.7</v>
      </c>
      <c r="N55" s="3">
        <v>7.9763663220088628</v>
      </c>
      <c r="O55" s="3">
        <f t="shared" si="5"/>
        <v>35.185185185185176</v>
      </c>
      <c r="P55" s="11">
        <f t="shared" si="6"/>
        <v>7.3</v>
      </c>
      <c r="Q55" s="3">
        <v>35.185185185185176</v>
      </c>
      <c r="R55" s="14">
        <f t="shared" si="7"/>
        <v>6600</v>
      </c>
      <c r="S55">
        <f t="shared" si="9"/>
        <v>1</v>
      </c>
      <c r="T55" t="str">
        <f t="shared" si="10"/>
        <v>6600:67</v>
      </c>
      <c r="U55" s="4">
        <f t="shared" si="8"/>
        <v>67</v>
      </c>
    </row>
    <row r="56" spans="1:21">
      <c r="A56">
        <v>55</v>
      </c>
      <c r="B56" t="s">
        <v>286</v>
      </c>
      <c r="C56">
        <v>78</v>
      </c>
      <c r="D56" t="s">
        <v>244</v>
      </c>
      <c r="E56" t="s">
        <v>282</v>
      </c>
      <c r="F56" t="s">
        <v>287</v>
      </c>
      <c r="G56" s="1">
        <v>4.8999999999999998E-3</v>
      </c>
      <c r="H56" t="s">
        <v>288</v>
      </c>
      <c r="I56" t="s">
        <v>198</v>
      </c>
      <c r="J56" t="s">
        <v>127</v>
      </c>
      <c r="K56" s="3">
        <f t="shared" si="2"/>
        <v>1.2893648449039883</v>
      </c>
      <c r="L56" s="7">
        <f t="shared" si="3"/>
        <v>0.87290000000000001</v>
      </c>
      <c r="M56" s="9">
        <f t="shared" si="4"/>
        <v>67.7</v>
      </c>
      <c r="N56" s="3">
        <v>1.2893648449039883</v>
      </c>
      <c r="O56" s="3">
        <f t="shared" si="5"/>
        <v>-62.687593080536139</v>
      </c>
      <c r="P56" s="11">
        <f t="shared" si="6"/>
        <v>0.32569999999999999</v>
      </c>
      <c r="Q56" s="3">
        <v>-62.687593080536139</v>
      </c>
      <c r="R56" s="14">
        <f t="shared" si="7"/>
        <v>2600</v>
      </c>
      <c r="S56">
        <f t="shared" si="9"/>
        <v>1</v>
      </c>
      <c r="T56" t="str">
        <f t="shared" si="10"/>
        <v>2600:67</v>
      </c>
      <c r="U56" s="4">
        <f t="shared" si="8"/>
        <v>67</v>
      </c>
    </row>
    <row r="57" spans="1:21">
      <c r="A57">
        <v>56</v>
      </c>
      <c r="B57" t="s">
        <v>289</v>
      </c>
      <c r="C57">
        <v>87</v>
      </c>
      <c r="D57" t="s">
        <v>290</v>
      </c>
      <c r="E57" t="s">
        <v>291</v>
      </c>
      <c r="F57" t="s">
        <v>39</v>
      </c>
      <c r="G57" s="1">
        <v>1E-4</v>
      </c>
      <c r="H57">
        <v>0</v>
      </c>
      <c r="I57" t="s">
        <v>292</v>
      </c>
      <c r="J57" t="s">
        <v>23</v>
      </c>
      <c r="K57" s="3">
        <f t="shared" si="2"/>
        <v>2.823179791976226</v>
      </c>
      <c r="L57" s="7">
        <f t="shared" si="3"/>
        <v>1.9</v>
      </c>
      <c r="M57" s="9">
        <f t="shared" si="4"/>
        <v>67.3</v>
      </c>
      <c r="N57" s="3">
        <v>2.823179791976226</v>
      </c>
      <c r="O57" s="3">
        <f t="shared" si="5"/>
        <v>-100</v>
      </c>
      <c r="P57" s="11">
        <f t="shared" si="6"/>
        <v>0</v>
      </c>
      <c r="Q57" s="3">
        <v>-100</v>
      </c>
      <c r="R57" s="14">
        <f t="shared" si="7"/>
        <v>639</v>
      </c>
      <c r="S57">
        <f t="shared" si="9"/>
        <v>1</v>
      </c>
      <c r="T57" t="str">
        <f t="shared" si="10"/>
        <v>639:67</v>
      </c>
      <c r="U57" s="4">
        <f t="shared" si="8"/>
        <v>67</v>
      </c>
    </row>
    <row r="58" spans="1:21">
      <c r="A58">
        <v>57</v>
      </c>
      <c r="B58" t="s">
        <v>293</v>
      </c>
      <c r="C58">
        <v>78</v>
      </c>
      <c r="D58" t="s">
        <v>118</v>
      </c>
      <c r="E58" t="s">
        <v>294</v>
      </c>
      <c r="F58" t="s">
        <v>295</v>
      </c>
      <c r="G58" s="1">
        <v>5.3999999999999999E-2</v>
      </c>
      <c r="H58" t="s">
        <v>57</v>
      </c>
      <c r="I58" t="s">
        <v>104</v>
      </c>
      <c r="J58" t="s">
        <v>296</v>
      </c>
      <c r="K58" s="3">
        <f t="shared" si="2"/>
        <v>6.1285500747384152</v>
      </c>
      <c r="L58" s="7">
        <f t="shared" si="3"/>
        <v>4.0999999999999996</v>
      </c>
      <c r="M58" s="9">
        <f t="shared" si="4"/>
        <v>66.900000000000006</v>
      </c>
      <c r="N58" s="3">
        <v>6.1285500747384152</v>
      </c>
      <c r="O58" s="3">
        <f t="shared" si="5"/>
        <v>-12.195121951219502</v>
      </c>
      <c r="P58" s="11">
        <f t="shared" si="6"/>
        <v>3.6</v>
      </c>
      <c r="Q58" s="3">
        <v>-12.195121951219502</v>
      </c>
      <c r="R58" s="14">
        <f t="shared" si="7"/>
        <v>4900</v>
      </c>
      <c r="S58">
        <f t="shared" si="9"/>
        <v>2</v>
      </c>
      <c r="T58" t="str">
        <f t="shared" si="10"/>
        <v>2450:33</v>
      </c>
      <c r="U58" s="4">
        <f t="shared" si="8"/>
        <v>66</v>
      </c>
    </row>
    <row r="59" spans="1:21">
      <c r="A59">
        <v>58</v>
      </c>
      <c r="B59" t="s">
        <v>297</v>
      </c>
      <c r="C59">
        <v>85</v>
      </c>
      <c r="D59" t="s">
        <v>298</v>
      </c>
      <c r="E59" t="s">
        <v>299</v>
      </c>
      <c r="F59" t="s">
        <v>98</v>
      </c>
      <c r="G59" s="1">
        <v>2.2499999999999999E-2</v>
      </c>
      <c r="H59" t="s">
        <v>69</v>
      </c>
      <c r="I59" t="s">
        <v>300</v>
      </c>
      <c r="J59" t="s">
        <v>256</v>
      </c>
      <c r="K59" s="3">
        <f t="shared" si="2"/>
        <v>2.5641025641025639</v>
      </c>
      <c r="L59" s="7">
        <f t="shared" si="3"/>
        <v>1.7</v>
      </c>
      <c r="M59" s="9">
        <f t="shared" si="4"/>
        <v>66.3</v>
      </c>
      <c r="N59" s="3">
        <v>2.5641025641025639</v>
      </c>
      <c r="O59" s="3">
        <f t="shared" si="5"/>
        <v>-11.764705882352938</v>
      </c>
      <c r="P59" s="11">
        <f t="shared" si="6"/>
        <v>1.5</v>
      </c>
      <c r="Q59" s="3">
        <v>-11.764705882352938</v>
      </c>
      <c r="R59" s="14">
        <f t="shared" si="7"/>
        <v>1700</v>
      </c>
      <c r="S59">
        <f t="shared" si="9"/>
        <v>2</v>
      </c>
      <c r="T59" t="str">
        <f t="shared" si="10"/>
        <v>850:33</v>
      </c>
      <c r="U59" s="4">
        <f t="shared" si="8"/>
        <v>66</v>
      </c>
    </row>
    <row r="60" spans="1:21">
      <c r="A60">
        <v>59</v>
      </c>
      <c r="B60" t="s">
        <v>301</v>
      </c>
      <c r="C60">
        <v>82</v>
      </c>
      <c r="D60" t="s">
        <v>302</v>
      </c>
      <c r="E60" t="s">
        <v>303</v>
      </c>
      <c r="F60" t="s">
        <v>304</v>
      </c>
      <c r="G60" s="1">
        <v>5.1000000000000004E-3</v>
      </c>
      <c r="H60" t="s">
        <v>305</v>
      </c>
      <c r="I60" t="s">
        <v>204</v>
      </c>
      <c r="J60" t="s">
        <v>306</v>
      </c>
      <c r="K60" s="3">
        <f t="shared" si="2"/>
        <v>0.50196374622356499</v>
      </c>
      <c r="L60" s="7">
        <f t="shared" si="3"/>
        <v>0.33229999999999998</v>
      </c>
      <c r="M60" s="9">
        <f t="shared" si="4"/>
        <v>66.2</v>
      </c>
      <c r="N60" s="3">
        <v>0.50196374622356499</v>
      </c>
      <c r="O60" s="3">
        <f t="shared" si="5"/>
        <v>2.0162503761661266</v>
      </c>
      <c r="P60" s="11">
        <f t="shared" si="6"/>
        <v>0.33900000000000002</v>
      </c>
      <c r="Q60" s="3">
        <v>2.0162503761661266</v>
      </c>
      <c r="R60" s="14">
        <f t="shared" si="7"/>
        <v>2300</v>
      </c>
      <c r="S60">
        <f t="shared" si="9"/>
        <v>2</v>
      </c>
      <c r="T60" t="str">
        <f t="shared" si="10"/>
        <v>1150:33</v>
      </c>
      <c r="U60" s="4">
        <f t="shared" si="8"/>
        <v>66</v>
      </c>
    </row>
    <row r="61" spans="1:21">
      <c r="A61">
        <v>60</v>
      </c>
      <c r="B61" t="s">
        <v>307</v>
      </c>
      <c r="C61">
        <v>87</v>
      </c>
      <c r="D61" t="s">
        <v>308</v>
      </c>
      <c r="E61" t="s">
        <v>309</v>
      </c>
      <c r="F61" t="s">
        <v>310</v>
      </c>
      <c r="G61" s="1">
        <v>3.0000000000000001E-3</v>
      </c>
      <c r="H61" t="s">
        <v>311</v>
      </c>
      <c r="I61" t="s">
        <v>312</v>
      </c>
      <c r="J61" t="s">
        <v>23</v>
      </c>
      <c r="K61" s="3">
        <f t="shared" si="2"/>
        <v>0.91107738998482524</v>
      </c>
      <c r="L61" s="7">
        <f t="shared" si="3"/>
        <v>0.60039999999999993</v>
      </c>
      <c r="M61" s="9">
        <f t="shared" si="4"/>
        <v>65.900000000000006</v>
      </c>
      <c r="N61" s="3">
        <v>0.91107738998482524</v>
      </c>
      <c r="O61" s="3">
        <f t="shared" si="5"/>
        <v>-68.454363757495003</v>
      </c>
      <c r="P61" s="11">
        <f t="shared" si="6"/>
        <v>0.18940000000000001</v>
      </c>
      <c r="Q61" s="3">
        <v>-68.454363757495003</v>
      </c>
      <c r="R61" s="14">
        <f t="shared" si="7"/>
        <v>470.7</v>
      </c>
      <c r="S61">
        <f t="shared" si="9"/>
        <v>5</v>
      </c>
      <c r="T61" t="str">
        <f t="shared" si="10"/>
        <v>94.14:13</v>
      </c>
      <c r="U61" s="4">
        <f t="shared" si="8"/>
        <v>65</v>
      </c>
    </row>
    <row r="62" spans="1:21">
      <c r="A62">
        <v>61</v>
      </c>
      <c r="B62" t="s">
        <v>313</v>
      </c>
      <c r="C62">
        <v>77</v>
      </c>
      <c r="D62" t="s">
        <v>244</v>
      </c>
      <c r="E62" t="s">
        <v>314</v>
      </c>
      <c r="F62" t="s">
        <v>39</v>
      </c>
      <c r="G62" s="1">
        <v>2.1899999999999999E-2</v>
      </c>
      <c r="H62" t="s">
        <v>99</v>
      </c>
      <c r="I62" t="s">
        <v>315</v>
      </c>
      <c r="J62" t="s">
        <v>23</v>
      </c>
      <c r="K62" s="3">
        <f t="shared" si="2"/>
        <v>2.9230769230769229</v>
      </c>
      <c r="L62" s="7">
        <f t="shared" si="3"/>
        <v>1.9</v>
      </c>
      <c r="M62" s="9">
        <f t="shared" si="4"/>
        <v>65</v>
      </c>
      <c r="N62" s="3">
        <v>2.9230769230769229</v>
      </c>
      <c r="O62" s="3">
        <f t="shared" si="5"/>
        <v>-26.315789473684209</v>
      </c>
      <c r="P62" s="11">
        <f t="shared" si="6"/>
        <v>1.4</v>
      </c>
      <c r="Q62" s="3">
        <v>-26.315789473684209</v>
      </c>
      <c r="R62" s="14">
        <f t="shared" si="7"/>
        <v>5400</v>
      </c>
      <c r="S62">
        <f t="shared" si="9"/>
        <v>5</v>
      </c>
      <c r="T62" t="str">
        <f t="shared" si="10"/>
        <v>1080:13</v>
      </c>
      <c r="U62" s="4">
        <f t="shared" si="8"/>
        <v>65</v>
      </c>
    </row>
    <row r="63" spans="1:21">
      <c r="A63">
        <v>62</v>
      </c>
      <c r="B63" t="s">
        <v>316</v>
      </c>
      <c r="C63">
        <v>82</v>
      </c>
      <c r="D63" t="s">
        <v>102</v>
      </c>
      <c r="E63" t="s">
        <v>317</v>
      </c>
      <c r="F63" t="s">
        <v>99</v>
      </c>
      <c r="G63" s="1">
        <v>2.0000000000000001E-4</v>
      </c>
      <c r="H63">
        <v>0</v>
      </c>
      <c r="I63" t="s">
        <v>226</v>
      </c>
      <c r="J63" t="s">
        <v>23</v>
      </c>
      <c r="K63" s="3">
        <f t="shared" si="2"/>
        <v>2.1909233176838812</v>
      </c>
      <c r="L63" s="7">
        <f t="shared" si="3"/>
        <v>1.4</v>
      </c>
      <c r="M63" s="9">
        <f t="shared" si="4"/>
        <v>63.9</v>
      </c>
      <c r="N63" s="3">
        <v>2.1909233176838812</v>
      </c>
      <c r="O63" s="3">
        <f t="shared" si="5"/>
        <v>-100</v>
      </c>
      <c r="P63" s="11">
        <f t="shared" si="6"/>
        <v>0</v>
      </c>
      <c r="Q63" s="3">
        <v>-100</v>
      </c>
      <c r="R63" s="14">
        <f t="shared" si="7"/>
        <v>1900</v>
      </c>
      <c r="S63">
        <f t="shared" si="9"/>
        <v>1</v>
      </c>
      <c r="T63" t="str">
        <f t="shared" si="10"/>
        <v>1900:63</v>
      </c>
      <c r="U63" s="4">
        <f t="shared" si="8"/>
        <v>63</v>
      </c>
    </row>
    <row r="64" spans="1:21">
      <c r="A64">
        <v>63</v>
      </c>
      <c r="B64" t="s">
        <v>318</v>
      </c>
      <c r="C64">
        <v>83</v>
      </c>
      <c r="D64" t="s">
        <v>319</v>
      </c>
      <c r="E64" t="s">
        <v>320</v>
      </c>
      <c r="F64" t="s">
        <v>321</v>
      </c>
      <c r="G64" s="1">
        <v>5.7999999999999996E-3</v>
      </c>
      <c r="H64" t="s">
        <v>322</v>
      </c>
      <c r="I64" t="s">
        <v>173</v>
      </c>
      <c r="J64" t="s">
        <v>323</v>
      </c>
      <c r="K64" s="3">
        <f t="shared" si="2"/>
        <v>0.60929133858267703</v>
      </c>
      <c r="L64" s="7">
        <f t="shared" si="3"/>
        <v>0.38689999999999997</v>
      </c>
      <c r="M64" s="9">
        <f t="shared" si="4"/>
        <v>63.5</v>
      </c>
      <c r="N64" s="3">
        <v>0.60929133858267703</v>
      </c>
      <c r="O64" s="3">
        <f t="shared" si="5"/>
        <v>-5.2468338071853013</v>
      </c>
      <c r="P64" s="11">
        <f t="shared" si="6"/>
        <v>0.36660000000000004</v>
      </c>
      <c r="Q64" s="3">
        <v>-5.2468338071853013</v>
      </c>
      <c r="R64" s="14">
        <f t="shared" si="7"/>
        <v>6800</v>
      </c>
      <c r="S64">
        <f t="shared" si="9"/>
        <v>1</v>
      </c>
      <c r="T64" t="str">
        <f t="shared" si="10"/>
        <v>6800:63</v>
      </c>
      <c r="U64" s="4">
        <f t="shared" si="8"/>
        <v>63</v>
      </c>
    </row>
    <row r="65" spans="1:21">
      <c r="A65">
        <v>64</v>
      </c>
      <c r="B65" t="s">
        <v>324</v>
      </c>
      <c r="C65">
        <v>82</v>
      </c>
      <c r="D65" t="s">
        <v>325</v>
      </c>
      <c r="E65" t="s">
        <v>326</v>
      </c>
      <c r="F65" t="s">
        <v>327</v>
      </c>
      <c r="G65" s="1">
        <v>6.8999999999999999E-3</v>
      </c>
      <c r="H65" t="s">
        <v>328</v>
      </c>
      <c r="I65" t="s">
        <v>271</v>
      </c>
      <c r="J65" t="s">
        <v>23</v>
      </c>
      <c r="K65" s="3">
        <f t="shared" si="2"/>
        <v>1.3557844690966718</v>
      </c>
      <c r="L65" s="7">
        <f t="shared" si="3"/>
        <v>0.85550000000000004</v>
      </c>
      <c r="M65" s="9">
        <f t="shared" si="4"/>
        <v>63.1</v>
      </c>
      <c r="N65" s="3">
        <v>1.3557844690966718</v>
      </c>
      <c r="O65" s="3">
        <f t="shared" si="5"/>
        <v>-50.181180596142617</v>
      </c>
      <c r="P65" s="11">
        <f t="shared" si="6"/>
        <v>0.42619999999999997</v>
      </c>
      <c r="Q65" s="3">
        <v>-50.181180596142617</v>
      </c>
      <c r="R65" s="14">
        <f t="shared" si="7"/>
        <v>4400</v>
      </c>
      <c r="S65">
        <f t="shared" si="9"/>
        <v>1</v>
      </c>
      <c r="T65" t="str">
        <f t="shared" si="10"/>
        <v>4400:63</v>
      </c>
      <c r="U65" s="4">
        <f t="shared" si="8"/>
        <v>63</v>
      </c>
    </row>
    <row r="66" spans="1:21">
      <c r="A66">
        <v>65</v>
      </c>
      <c r="B66" t="s">
        <v>329</v>
      </c>
      <c r="C66">
        <v>82</v>
      </c>
      <c r="D66" t="s">
        <v>330</v>
      </c>
      <c r="E66" t="s">
        <v>331</v>
      </c>
      <c r="F66" t="s">
        <v>332</v>
      </c>
      <c r="G66" s="1">
        <v>9.4299999999999995E-2</v>
      </c>
      <c r="H66" t="s">
        <v>21</v>
      </c>
      <c r="I66" t="s">
        <v>333</v>
      </c>
      <c r="J66" t="s">
        <v>892</v>
      </c>
      <c r="K66" s="3">
        <f t="shared" si="2"/>
        <v>7.1542130365659773</v>
      </c>
      <c r="L66" s="7">
        <f t="shared" si="3"/>
        <v>4.5</v>
      </c>
      <c r="M66" s="9">
        <f t="shared" si="4"/>
        <v>62.9</v>
      </c>
      <c r="N66" s="3">
        <v>7.1542130365659773</v>
      </c>
      <c r="O66" s="3">
        <f t="shared" si="5"/>
        <v>31.111111111111118</v>
      </c>
      <c r="P66" s="11">
        <f t="shared" si="6"/>
        <v>5.9</v>
      </c>
      <c r="Q66" s="3">
        <v>31.111111111111118</v>
      </c>
      <c r="R66" s="14">
        <f t="shared" si="7"/>
        <v>3800</v>
      </c>
      <c r="S66">
        <f t="shared" ref="S66:S97" si="11">GCD(U66,R66)</f>
        <v>2</v>
      </c>
      <c r="T66" t="str">
        <f t="shared" ref="T66:T97" si="12">R66/S66&amp;":"&amp;U66/S66</f>
        <v>1900:31</v>
      </c>
      <c r="U66" s="4">
        <f t="shared" si="8"/>
        <v>62</v>
      </c>
    </row>
    <row r="67" spans="1:21">
      <c r="A67">
        <v>66</v>
      </c>
      <c r="B67" t="s">
        <v>334</v>
      </c>
      <c r="C67">
        <v>84</v>
      </c>
      <c r="D67" t="s">
        <v>134</v>
      </c>
      <c r="E67" t="s">
        <v>335</v>
      </c>
      <c r="F67" t="s">
        <v>163</v>
      </c>
      <c r="G67" s="1">
        <v>1.12E-2</v>
      </c>
      <c r="H67" t="s">
        <v>336</v>
      </c>
      <c r="I67" t="s">
        <v>65</v>
      </c>
      <c r="J67" t="s">
        <v>337</v>
      </c>
      <c r="K67" s="3">
        <f t="shared" ref="K67:K130" si="13">(L67/M67)*100</f>
        <v>1.910828025477707</v>
      </c>
      <c r="L67" s="7">
        <f t="shared" ref="L67:L130" si="14">IF(RIGHT(F67,1)="k",VALUE(LEFT(F67,LEN(F67)-1))/1000,IF(RIGHT(F67,1)="m",VALUE(LEFT(F67,LEN(F67)-1)),F67))</f>
        <v>1.2</v>
      </c>
      <c r="M67" s="9">
        <f t="shared" ref="M67:M130" si="15">IF(RIGHT(E67,1)="k",VALUE(LEFT(E67,LEN(E67)-1))/1000,IF(RIGHT(E67,1)="m",VALUE(LEFT(E67,LEN(E67)-1)),E67))</f>
        <v>62.8</v>
      </c>
      <c r="N67" s="3">
        <v>1.910828025477707</v>
      </c>
      <c r="O67" s="3">
        <f t="shared" ref="O67:O130" si="16">(P67-L67)/L67*100</f>
        <v>-41.975000000000009</v>
      </c>
      <c r="P67" s="11">
        <f t="shared" ref="P67:P130" si="17">IF(RIGHT(H67,1)="k",VALUE(LEFT(H67,LEN(H67)-1))/1000,IF(RIGHT(H67,1)="m",VALUE(LEFT(H67,LEN(H67)-1)),H67))</f>
        <v>0.69629999999999992</v>
      </c>
      <c r="Q67" s="3">
        <v>-41.975000000000009</v>
      </c>
      <c r="R67" s="14">
        <f t="shared" ref="R67:R130" si="18">IF(RIGHT(I67,1)="b",VALUE(LEFT(I67,LEN(I67)-1))*1000,IF(RIGHT(I67,1)="m",VALUE(LEFT(I67,LEN(I67)-1)),I67))</f>
        <v>9800</v>
      </c>
      <c r="S67">
        <f t="shared" si="11"/>
        <v>2</v>
      </c>
      <c r="T67" t="str">
        <f t="shared" si="12"/>
        <v>4900:31</v>
      </c>
      <c r="U67" s="4">
        <f t="shared" ref="U67:U130" si="19">FLOOR(M67,1)</f>
        <v>62</v>
      </c>
    </row>
    <row r="68" spans="1:21">
      <c r="A68">
        <v>67</v>
      </c>
      <c r="B68" t="s">
        <v>338</v>
      </c>
      <c r="C68">
        <v>85</v>
      </c>
      <c r="D68" t="s">
        <v>240</v>
      </c>
      <c r="E68" t="s">
        <v>335</v>
      </c>
      <c r="F68" t="s">
        <v>69</v>
      </c>
      <c r="G68" s="1">
        <v>1.01E-2</v>
      </c>
      <c r="H68" t="s">
        <v>339</v>
      </c>
      <c r="I68" t="s">
        <v>340</v>
      </c>
      <c r="J68" t="s">
        <v>256</v>
      </c>
      <c r="K68" s="3">
        <f t="shared" si="13"/>
        <v>2.3885350318471339</v>
      </c>
      <c r="L68" s="7">
        <f t="shared" si="14"/>
        <v>1.5</v>
      </c>
      <c r="M68" s="9">
        <f t="shared" si="15"/>
        <v>62.8</v>
      </c>
      <c r="N68" s="3">
        <v>2.3885350318471339</v>
      </c>
      <c r="O68" s="3">
        <f t="shared" si="16"/>
        <v>-58.34</v>
      </c>
      <c r="P68" s="11">
        <f t="shared" si="17"/>
        <v>0.62490000000000001</v>
      </c>
      <c r="Q68" s="3">
        <v>-58.34</v>
      </c>
      <c r="R68" s="14">
        <f t="shared" si="18"/>
        <v>2900</v>
      </c>
      <c r="S68">
        <f t="shared" si="11"/>
        <v>2</v>
      </c>
      <c r="T68" t="str">
        <f t="shared" si="12"/>
        <v>1450:31</v>
      </c>
      <c r="U68" s="4">
        <f t="shared" si="19"/>
        <v>62</v>
      </c>
    </row>
    <row r="69" spans="1:21">
      <c r="A69">
        <v>68</v>
      </c>
      <c r="B69" t="s">
        <v>341</v>
      </c>
      <c r="C69">
        <v>85</v>
      </c>
      <c r="D69" t="s">
        <v>342</v>
      </c>
      <c r="E69" t="s">
        <v>343</v>
      </c>
      <c r="F69" t="s">
        <v>153</v>
      </c>
      <c r="G69" s="1">
        <v>1.15E-2</v>
      </c>
      <c r="H69" t="s">
        <v>344</v>
      </c>
      <c r="I69" t="s">
        <v>251</v>
      </c>
      <c r="J69" t="s">
        <v>256</v>
      </c>
      <c r="K69" s="3">
        <f t="shared" si="13"/>
        <v>1.7543859649122806</v>
      </c>
      <c r="L69" s="7">
        <f t="shared" si="14"/>
        <v>1.1000000000000001</v>
      </c>
      <c r="M69" s="9">
        <f t="shared" si="15"/>
        <v>62.7</v>
      </c>
      <c r="N69" s="3">
        <v>1.7543859649122806</v>
      </c>
      <c r="O69" s="3">
        <f t="shared" si="16"/>
        <v>-34.654545454545463</v>
      </c>
      <c r="P69" s="11">
        <f t="shared" si="17"/>
        <v>0.71879999999999999</v>
      </c>
      <c r="Q69" s="3">
        <v>-34.654545454545463</v>
      </c>
      <c r="R69" s="14">
        <f t="shared" si="18"/>
        <v>2800</v>
      </c>
      <c r="S69">
        <f t="shared" si="11"/>
        <v>2</v>
      </c>
      <c r="T69" t="str">
        <f t="shared" si="12"/>
        <v>1400:31</v>
      </c>
      <c r="U69" s="4">
        <f t="shared" si="19"/>
        <v>62</v>
      </c>
    </row>
    <row r="70" spans="1:21">
      <c r="A70">
        <v>69</v>
      </c>
      <c r="B70" t="s">
        <v>345</v>
      </c>
      <c r="C70">
        <v>86</v>
      </c>
      <c r="D70" t="s">
        <v>79</v>
      </c>
      <c r="E70" t="s">
        <v>346</v>
      </c>
      <c r="F70" t="s">
        <v>347</v>
      </c>
      <c r="G70" s="1">
        <v>5.1999999999999998E-3</v>
      </c>
      <c r="H70" t="s">
        <v>348</v>
      </c>
      <c r="I70" t="s">
        <v>149</v>
      </c>
      <c r="J70" t="s">
        <v>349</v>
      </c>
      <c r="K70" s="3">
        <f t="shared" si="13"/>
        <v>0.80856219709208399</v>
      </c>
      <c r="L70" s="7">
        <f t="shared" si="14"/>
        <v>0.50049999999999994</v>
      </c>
      <c r="M70" s="9">
        <f t="shared" si="15"/>
        <v>61.9</v>
      </c>
      <c r="N70" s="3">
        <v>0.80856219709208399</v>
      </c>
      <c r="O70" s="3">
        <f t="shared" si="16"/>
        <v>-35.624375624375624</v>
      </c>
      <c r="P70" s="11">
        <f t="shared" si="17"/>
        <v>0.32219999999999999</v>
      </c>
      <c r="Q70" s="3">
        <v>-35.624375624375624</v>
      </c>
      <c r="R70" s="14">
        <f t="shared" si="18"/>
        <v>5000</v>
      </c>
      <c r="S70">
        <f t="shared" si="11"/>
        <v>1</v>
      </c>
      <c r="T70" t="str">
        <f t="shared" si="12"/>
        <v>5000:61</v>
      </c>
      <c r="U70" s="4">
        <f t="shared" si="19"/>
        <v>61</v>
      </c>
    </row>
    <row r="71" spans="1:21">
      <c r="A71">
        <v>70</v>
      </c>
      <c r="B71" t="s">
        <v>350</v>
      </c>
      <c r="C71">
        <v>82</v>
      </c>
      <c r="D71" t="s">
        <v>351</v>
      </c>
      <c r="E71" t="s">
        <v>352</v>
      </c>
      <c r="F71" t="s">
        <v>353</v>
      </c>
      <c r="G71" s="1">
        <v>9.7199999999999995E-2</v>
      </c>
      <c r="H71" t="s">
        <v>354</v>
      </c>
      <c r="I71" t="s">
        <v>333</v>
      </c>
      <c r="J71" t="s">
        <v>892</v>
      </c>
      <c r="K71" s="3">
        <f t="shared" si="13"/>
        <v>7.4433656957928811</v>
      </c>
      <c r="L71" s="7">
        <f t="shared" si="14"/>
        <v>4.5999999999999996</v>
      </c>
      <c r="M71" s="9">
        <f t="shared" si="15"/>
        <v>61.8</v>
      </c>
      <c r="N71" s="3">
        <v>7.4433656957928811</v>
      </c>
      <c r="O71" s="3">
        <f t="shared" si="16"/>
        <v>30.434782608695659</v>
      </c>
      <c r="P71" s="11">
        <f t="shared" si="17"/>
        <v>6</v>
      </c>
      <c r="Q71" s="3">
        <v>30.434782608695659</v>
      </c>
      <c r="R71" s="14">
        <f t="shared" si="18"/>
        <v>3800</v>
      </c>
      <c r="S71">
        <f t="shared" si="11"/>
        <v>1</v>
      </c>
      <c r="T71" t="str">
        <f t="shared" si="12"/>
        <v>3800:61</v>
      </c>
      <c r="U71" s="4">
        <f t="shared" si="19"/>
        <v>61</v>
      </c>
    </row>
    <row r="72" spans="1:21">
      <c r="A72">
        <v>71</v>
      </c>
      <c r="B72" t="s">
        <v>355</v>
      </c>
      <c r="C72">
        <v>85</v>
      </c>
      <c r="D72" t="s">
        <v>356</v>
      </c>
      <c r="E72" t="s">
        <v>357</v>
      </c>
      <c r="F72" t="s">
        <v>358</v>
      </c>
      <c r="G72" s="1">
        <v>4.1000000000000003E-3</v>
      </c>
      <c r="H72" t="s">
        <v>359</v>
      </c>
      <c r="I72" t="s">
        <v>333</v>
      </c>
      <c r="J72" t="s">
        <v>199</v>
      </c>
      <c r="K72" s="3">
        <f t="shared" si="13"/>
        <v>0.64060402684563755</v>
      </c>
      <c r="L72" s="7">
        <f t="shared" si="14"/>
        <v>0.38180000000000003</v>
      </c>
      <c r="M72" s="9">
        <f t="shared" si="15"/>
        <v>59.6</v>
      </c>
      <c r="N72" s="3">
        <v>0.64060402684563755</v>
      </c>
      <c r="O72" s="3">
        <f t="shared" si="16"/>
        <v>-36.720796228391841</v>
      </c>
      <c r="P72" s="11">
        <f t="shared" si="17"/>
        <v>0.24159999999999998</v>
      </c>
      <c r="Q72" s="3">
        <v>-36.720796228391841</v>
      </c>
      <c r="R72" s="14">
        <f t="shared" si="18"/>
        <v>3800</v>
      </c>
      <c r="S72">
        <f t="shared" si="11"/>
        <v>1</v>
      </c>
      <c r="T72" t="str">
        <f t="shared" si="12"/>
        <v>3800:59</v>
      </c>
      <c r="U72" s="4">
        <f t="shared" si="19"/>
        <v>59</v>
      </c>
    </row>
    <row r="73" spans="1:21">
      <c r="A73">
        <v>72</v>
      </c>
      <c r="B73" t="s">
        <v>360</v>
      </c>
      <c r="C73">
        <v>85</v>
      </c>
      <c r="D73" t="s">
        <v>118</v>
      </c>
      <c r="E73" t="s">
        <v>361</v>
      </c>
      <c r="F73" t="s">
        <v>39</v>
      </c>
      <c r="G73" s="1">
        <v>2.3400000000000001E-2</v>
      </c>
      <c r="H73" t="s">
        <v>99</v>
      </c>
      <c r="I73" t="s">
        <v>362</v>
      </c>
      <c r="J73" t="s">
        <v>256</v>
      </c>
      <c r="K73" s="3">
        <f t="shared" si="13"/>
        <v>3.1932773109243695</v>
      </c>
      <c r="L73" s="7">
        <f t="shared" si="14"/>
        <v>1.9</v>
      </c>
      <c r="M73" s="9">
        <f t="shared" si="15"/>
        <v>59.5</v>
      </c>
      <c r="N73" s="3">
        <v>3.1932773109243695</v>
      </c>
      <c r="O73" s="3">
        <f t="shared" si="16"/>
        <v>-26.315789473684209</v>
      </c>
      <c r="P73" s="11">
        <f t="shared" si="17"/>
        <v>1.4</v>
      </c>
      <c r="Q73" s="3">
        <v>-26.315789473684209</v>
      </c>
      <c r="R73" s="14">
        <f t="shared" si="18"/>
        <v>2200</v>
      </c>
      <c r="S73">
        <f t="shared" si="11"/>
        <v>1</v>
      </c>
      <c r="T73" t="str">
        <f t="shared" si="12"/>
        <v>2200:59</v>
      </c>
      <c r="U73" s="4">
        <f t="shared" si="19"/>
        <v>59</v>
      </c>
    </row>
    <row r="74" spans="1:21">
      <c r="A74">
        <v>73</v>
      </c>
      <c r="B74" t="s">
        <v>363</v>
      </c>
      <c r="C74">
        <v>79</v>
      </c>
      <c r="D74" t="s">
        <v>364</v>
      </c>
      <c r="E74" t="s">
        <v>365</v>
      </c>
      <c r="F74" t="s">
        <v>214</v>
      </c>
      <c r="G74" s="1">
        <v>5.7999999999999996E-3</v>
      </c>
      <c r="H74" t="s">
        <v>366</v>
      </c>
      <c r="I74" t="s">
        <v>271</v>
      </c>
      <c r="J74" t="s">
        <v>127</v>
      </c>
      <c r="K74" s="3">
        <f t="shared" si="13"/>
        <v>2.7257240204429301</v>
      </c>
      <c r="L74" s="7">
        <f t="shared" si="14"/>
        <v>1.6</v>
      </c>
      <c r="M74" s="9">
        <f t="shared" si="15"/>
        <v>58.7</v>
      </c>
      <c r="N74" s="3">
        <v>2.7257240204429301</v>
      </c>
      <c r="O74" s="3">
        <f t="shared" si="16"/>
        <v>-79.806250000000006</v>
      </c>
      <c r="P74" s="11">
        <f t="shared" si="17"/>
        <v>0.3231</v>
      </c>
      <c r="Q74" s="3">
        <v>-79.806250000000006</v>
      </c>
      <c r="R74" s="14">
        <f t="shared" si="18"/>
        <v>4400</v>
      </c>
      <c r="S74">
        <f t="shared" si="11"/>
        <v>2</v>
      </c>
      <c r="T74" t="str">
        <f t="shared" si="12"/>
        <v>2200:29</v>
      </c>
      <c r="U74" s="4">
        <f t="shared" si="19"/>
        <v>58</v>
      </c>
    </row>
    <row r="75" spans="1:21">
      <c r="A75">
        <v>74</v>
      </c>
      <c r="B75" t="s">
        <v>367</v>
      </c>
      <c r="C75">
        <v>86</v>
      </c>
      <c r="D75" t="s">
        <v>79</v>
      </c>
      <c r="E75" t="s">
        <v>368</v>
      </c>
      <c r="F75" t="s">
        <v>369</v>
      </c>
      <c r="G75" s="1">
        <v>4.4000000000000003E-3</v>
      </c>
      <c r="H75" t="s">
        <v>370</v>
      </c>
      <c r="I75" t="s">
        <v>371</v>
      </c>
      <c r="J75" t="s">
        <v>23</v>
      </c>
      <c r="K75" s="3">
        <f t="shared" si="13"/>
        <v>1.1576592082616177</v>
      </c>
      <c r="L75" s="7">
        <f t="shared" si="14"/>
        <v>0.67259999999999998</v>
      </c>
      <c r="M75" s="9">
        <f t="shared" si="15"/>
        <v>58.1</v>
      </c>
      <c r="N75" s="3">
        <v>1.1576592082616177</v>
      </c>
      <c r="O75" s="3">
        <f t="shared" si="16"/>
        <v>-63.038953315492122</v>
      </c>
      <c r="P75" s="11">
        <f t="shared" si="17"/>
        <v>0.24859999999999999</v>
      </c>
      <c r="Q75" s="3">
        <v>-63.038953315492122</v>
      </c>
      <c r="R75" s="14">
        <f t="shared" si="18"/>
        <v>6700</v>
      </c>
      <c r="S75">
        <f t="shared" si="11"/>
        <v>2</v>
      </c>
      <c r="T75" t="str">
        <f t="shared" si="12"/>
        <v>3350:29</v>
      </c>
      <c r="U75" s="4">
        <f t="shared" si="19"/>
        <v>58</v>
      </c>
    </row>
    <row r="76" spans="1:21">
      <c r="A76">
        <v>75</v>
      </c>
      <c r="B76" t="s">
        <v>372</v>
      </c>
      <c r="C76">
        <v>86</v>
      </c>
      <c r="D76" t="s">
        <v>364</v>
      </c>
      <c r="E76" t="s">
        <v>368</v>
      </c>
      <c r="F76" t="s">
        <v>373</v>
      </c>
      <c r="G76" s="1">
        <v>7.7999999999999996E-3</v>
      </c>
      <c r="H76" t="s">
        <v>374</v>
      </c>
      <c r="I76" t="s">
        <v>226</v>
      </c>
      <c r="J76" t="s">
        <v>127</v>
      </c>
      <c r="K76" s="3">
        <f t="shared" si="13"/>
        <v>1.1891566265060241</v>
      </c>
      <c r="L76" s="7">
        <f t="shared" si="14"/>
        <v>0.69089999999999996</v>
      </c>
      <c r="M76" s="9">
        <f t="shared" si="15"/>
        <v>58.1</v>
      </c>
      <c r="N76" s="3">
        <v>1.1891566265060241</v>
      </c>
      <c r="O76" s="3">
        <f t="shared" si="16"/>
        <v>-35.113619916051519</v>
      </c>
      <c r="P76" s="11">
        <f t="shared" si="17"/>
        <v>0.44830000000000003</v>
      </c>
      <c r="Q76" s="3">
        <v>-35.113619916051519</v>
      </c>
      <c r="R76" s="14">
        <f t="shared" si="18"/>
        <v>1900</v>
      </c>
      <c r="S76">
        <f t="shared" si="11"/>
        <v>2</v>
      </c>
      <c r="T76" t="str">
        <f t="shared" si="12"/>
        <v>950:29</v>
      </c>
      <c r="U76" s="4">
        <f t="shared" si="19"/>
        <v>58</v>
      </c>
    </row>
    <row r="77" spans="1:21">
      <c r="A77">
        <v>76</v>
      </c>
      <c r="B77" t="s">
        <v>375</v>
      </c>
      <c r="C77">
        <v>80</v>
      </c>
      <c r="D77" t="s">
        <v>376</v>
      </c>
      <c r="E77" t="s">
        <v>377</v>
      </c>
      <c r="F77" t="s">
        <v>378</v>
      </c>
      <c r="G77" s="1">
        <v>8.6300000000000002E-2</v>
      </c>
      <c r="H77" t="s">
        <v>379</v>
      </c>
      <c r="I77" t="s">
        <v>380</v>
      </c>
      <c r="J77" t="s">
        <v>23</v>
      </c>
      <c r="K77" s="3">
        <f t="shared" si="13"/>
        <v>6.9444444444444446</v>
      </c>
      <c r="L77" s="7">
        <f t="shared" si="14"/>
        <v>4</v>
      </c>
      <c r="M77" s="9">
        <f t="shared" si="15"/>
        <v>57.6</v>
      </c>
      <c r="N77" s="3">
        <v>6.9444444444444446</v>
      </c>
      <c r="O77" s="3">
        <f t="shared" si="16"/>
        <v>25</v>
      </c>
      <c r="P77" s="11">
        <f t="shared" si="17"/>
        <v>5</v>
      </c>
      <c r="Q77" s="3">
        <v>25</v>
      </c>
      <c r="R77" s="14">
        <f t="shared" si="18"/>
        <v>1100</v>
      </c>
      <c r="S77">
        <f t="shared" si="11"/>
        <v>1</v>
      </c>
      <c r="T77" t="str">
        <f t="shared" si="12"/>
        <v>1100:57</v>
      </c>
      <c r="U77" s="4">
        <f t="shared" si="19"/>
        <v>57</v>
      </c>
    </row>
    <row r="78" spans="1:21">
      <c r="A78">
        <v>77</v>
      </c>
      <c r="B78" t="s">
        <v>381</v>
      </c>
      <c r="C78">
        <v>42</v>
      </c>
      <c r="D78" t="s">
        <v>55</v>
      </c>
      <c r="E78" t="s">
        <v>382</v>
      </c>
      <c r="F78" t="s">
        <v>383</v>
      </c>
      <c r="G78" s="1">
        <v>1.6199999999999999E-2</v>
      </c>
      <c r="H78" t="s">
        <v>384</v>
      </c>
      <c r="I78" t="s">
        <v>385</v>
      </c>
      <c r="J78" t="s">
        <v>16</v>
      </c>
      <c r="K78" s="3">
        <f t="shared" si="13"/>
        <v>1.5439367311072056</v>
      </c>
      <c r="L78" s="7">
        <f t="shared" si="14"/>
        <v>0.87849999999999995</v>
      </c>
      <c r="M78" s="9">
        <f t="shared" si="15"/>
        <v>56.9</v>
      </c>
      <c r="N78" s="3">
        <v>1.5439367311072056</v>
      </c>
      <c r="O78" s="3">
        <f t="shared" si="16"/>
        <v>4.5987478656801359</v>
      </c>
      <c r="P78" s="11">
        <f t="shared" si="17"/>
        <v>0.91889999999999994</v>
      </c>
      <c r="Q78" s="3">
        <v>4.5987478656801359</v>
      </c>
      <c r="R78" s="14">
        <f t="shared" si="18"/>
        <v>1800</v>
      </c>
      <c r="S78">
        <f t="shared" si="11"/>
        <v>8</v>
      </c>
      <c r="T78" t="str">
        <f t="shared" si="12"/>
        <v>225:7</v>
      </c>
      <c r="U78" s="4">
        <f t="shared" si="19"/>
        <v>56</v>
      </c>
    </row>
    <row r="79" spans="1:21">
      <c r="A79">
        <v>78</v>
      </c>
      <c r="B79" t="s">
        <v>386</v>
      </c>
      <c r="C79">
        <v>86</v>
      </c>
      <c r="D79" t="s">
        <v>387</v>
      </c>
      <c r="E79" t="s">
        <v>388</v>
      </c>
      <c r="F79" t="s">
        <v>389</v>
      </c>
      <c r="G79" s="1">
        <v>3.6900000000000002E-2</v>
      </c>
      <c r="H79" t="s">
        <v>108</v>
      </c>
      <c r="I79" t="s">
        <v>208</v>
      </c>
      <c r="J79" t="s">
        <v>390</v>
      </c>
      <c r="K79" s="3">
        <f t="shared" si="13"/>
        <v>5.0089445438282638</v>
      </c>
      <c r="L79" s="7">
        <f t="shared" si="14"/>
        <v>2.8</v>
      </c>
      <c r="M79" s="9">
        <f t="shared" si="15"/>
        <v>55.9</v>
      </c>
      <c r="N79" s="3">
        <v>5.0089445438282638</v>
      </c>
      <c r="O79" s="3">
        <f t="shared" si="16"/>
        <v>-24.999999999999993</v>
      </c>
      <c r="P79" s="11">
        <f t="shared" si="17"/>
        <v>2.1</v>
      </c>
      <c r="Q79" s="3">
        <v>-24.999999999999993</v>
      </c>
      <c r="R79" s="14">
        <f t="shared" si="18"/>
        <v>2500</v>
      </c>
      <c r="S79">
        <f t="shared" si="11"/>
        <v>5</v>
      </c>
      <c r="T79" t="str">
        <f t="shared" si="12"/>
        <v>500:11</v>
      </c>
      <c r="U79" s="4">
        <f t="shared" si="19"/>
        <v>55</v>
      </c>
    </row>
    <row r="80" spans="1:21">
      <c r="A80">
        <v>79</v>
      </c>
      <c r="B80" t="s">
        <v>391</v>
      </c>
      <c r="C80">
        <v>83</v>
      </c>
      <c r="D80" t="s">
        <v>11</v>
      </c>
      <c r="E80" t="s">
        <v>392</v>
      </c>
      <c r="F80" t="s">
        <v>148</v>
      </c>
      <c r="G80" s="1">
        <v>0.10249999999999999</v>
      </c>
      <c r="H80" t="s">
        <v>270</v>
      </c>
      <c r="I80" t="s">
        <v>393</v>
      </c>
      <c r="J80" t="s">
        <v>256</v>
      </c>
      <c r="K80" s="3">
        <f t="shared" si="13"/>
        <v>5.5755395683453237</v>
      </c>
      <c r="L80" s="7">
        <f t="shared" si="14"/>
        <v>3.1</v>
      </c>
      <c r="M80" s="9">
        <f t="shared" si="15"/>
        <v>55.6</v>
      </c>
      <c r="N80" s="3">
        <v>5.5755395683453237</v>
      </c>
      <c r="O80" s="3">
        <f t="shared" si="16"/>
        <v>83.870967741935488</v>
      </c>
      <c r="P80" s="11">
        <f t="shared" si="17"/>
        <v>5.7</v>
      </c>
      <c r="Q80" s="3">
        <v>83.870967741935488</v>
      </c>
      <c r="R80" s="14">
        <f t="shared" si="18"/>
        <v>10100</v>
      </c>
      <c r="S80">
        <f t="shared" si="11"/>
        <v>5</v>
      </c>
      <c r="T80" t="str">
        <f t="shared" si="12"/>
        <v>2020:11</v>
      </c>
      <c r="U80" s="4">
        <f t="shared" si="19"/>
        <v>55</v>
      </c>
    </row>
    <row r="81" spans="1:21">
      <c r="A81">
        <v>80</v>
      </c>
      <c r="B81" t="s">
        <v>394</v>
      </c>
      <c r="C81">
        <v>80</v>
      </c>
      <c r="D81" t="s">
        <v>196</v>
      </c>
      <c r="E81" t="s">
        <v>395</v>
      </c>
      <c r="F81" t="s">
        <v>99</v>
      </c>
      <c r="G81" s="1">
        <v>8.5000000000000006E-3</v>
      </c>
      <c r="H81" t="s">
        <v>396</v>
      </c>
      <c r="I81" t="s">
        <v>385</v>
      </c>
      <c r="J81" t="s">
        <v>349</v>
      </c>
      <c r="K81" s="3">
        <f t="shared" si="13"/>
        <v>2.5362318840579707</v>
      </c>
      <c r="L81" s="7">
        <f t="shared" si="14"/>
        <v>1.4</v>
      </c>
      <c r="M81" s="9">
        <f t="shared" si="15"/>
        <v>55.2</v>
      </c>
      <c r="N81" s="3">
        <v>2.5362318840579707</v>
      </c>
      <c r="O81" s="3">
        <f t="shared" si="16"/>
        <v>-66.957142857142856</v>
      </c>
      <c r="P81" s="11">
        <f t="shared" si="17"/>
        <v>0.46260000000000001</v>
      </c>
      <c r="Q81" s="3">
        <v>-66.957142857142856</v>
      </c>
      <c r="R81" s="14">
        <f t="shared" si="18"/>
        <v>1800</v>
      </c>
      <c r="S81">
        <f t="shared" si="11"/>
        <v>5</v>
      </c>
      <c r="T81" t="str">
        <f t="shared" si="12"/>
        <v>360:11</v>
      </c>
      <c r="U81" s="4">
        <f t="shared" si="19"/>
        <v>55</v>
      </c>
    </row>
    <row r="82" spans="1:21">
      <c r="A82">
        <v>81</v>
      </c>
      <c r="B82" t="s">
        <v>397</v>
      </c>
      <c r="C82">
        <v>86</v>
      </c>
      <c r="D82" t="s">
        <v>218</v>
      </c>
      <c r="E82" t="s">
        <v>398</v>
      </c>
      <c r="F82" t="s">
        <v>69</v>
      </c>
      <c r="G82" s="1">
        <v>1.5299999999999999E-2</v>
      </c>
      <c r="H82" t="s">
        <v>399</v>
      </c>
      <c r="I82" t="s">
        <v>94</v>
      </c>
      <c r="J82" t="s">
        <v>734</v>
      </c>
      <c r="K82" s="3">
        <f t="shared" si="13"/>
        <v>2.7223230490018149</v>
      </c>
      <c r="L82" s="7">
        <f t="shared" si="14"/>
        <v>1.5</v>
      </c>
      <c r="M82" s="9">
        <f t="shared" si="15"/>
        <v>55.1</v>
      </c>
      <c r="N82" s="3">
        <v>2.7223230490018149</v>
      </c>
      <c r="O82" s="3">
        <f t="shared" si="16"/>
        <v>-44.193333333333328</v>
      </c>
      <c r="P82" s="11">
        <f t="shared" si="17"/>
        <v>0.83710000000000007</v>
      </c>
      <c r="Q82" s="3">
        <v>-44.193333333333328</v>
      </c>
      <c r="R82" s="14">
        <f t="shared" si="18"/>
        <v>1300</v>
      </c>
      <c r="S82">
        <f t="shared" si="11"/>
        <v>5</v>
      </c>
      <c r="T82" t="str">
        <f t="shared" si="12"/>
        <v>260:11</v>
      </c>
      <c r="U82" s="4">
        <f t="shared" si="19"/>
        <v>55</v>
      </c>
    </row>
    <row r="83" spans="1:21">
      <c r="A83">
        <v>82</v>
      </c>
      <c r="B83" t="s">
        <v>400</v>
      </c>
      <c r="C83">
        <v>86</v>
      </c>
      <c r="D83" t="s">
        <v>201</v>
      </c>
      <c r="E83" t="s">
        <v>401</v>
      </c>
      <c r="F83" t="s">
        <v>402</v>
      </c>
      <c r="G83" s="1">
        <v>2E-3</v>
      </c>
      <c r="H83" t="s">
        <v>403</v>
      </c>
      <c r="I83" t="s">
        <v>404</v>
      </c>
      <c r="J83" t="s">
        <v>23</v>
      </c>
      <c r="K83" s="3">
        <f t="shared" si="13"/>
        <v>0.72435897435897434</v>
      </c>
      <c r="L83" s="7">
        <f t="shared" si="14"/>
        <v>0.39550000000000002</v>
      </c>
      <c r="M83" s="9">
        <f t="shared" si="15"/>
        <v>54.6</v>
      </c>
      <c r="N83" s="3">
        <v>0.72435897435897434</v>
      </c>
      <c r="O83" s="3">
        <f t="shared" si="16"/>
        <v>-72.793931731984841</v>
      </c>
      <c r="P83" s="11">
        <f t="shared" si="17"/>
        <v>0.1076</v>
      </c>
      <c r="Q83" s="3">
        <v>-72.793931731984841</v>
      </c>
      <c r="R83" s="14">
        <f t="shared" si="18"/>
        <v>669.3</v>
      </c>
      <c r="S83">
        <f t="shared" si="11"/>
        <v>3</v>
      </c>
      <c r="T83" t="str">
        <f t="shared" si="12"/>
        <v>223.1:18</v>
      </c>
      <c r="U83" s="4">
        <f t="shared" si="19"/>
        <v>54</v>
      </c>
    </row>
    <row r="84" spans="1:21">
      <c r="A84">
        <v>83</v>
      </c>
      <c r="B84" t="s">
        <v>405</v>
      </c>
      <c r="C84">
        <v>87</v>
      </c>
      <c r="D84" t="s">
        <v>79</v>
      </c>
      <c r="E84" t="s">
        <v>406</v>
      </c>
      <c r="F84" t="s">
        <v>407</v>
      </c>
      <c r="G84" s="1">
        <v>2.5000000000000001E-3</v>
      </c>
      <c r="H84" t="s">
        <v>408</v>
      </c>
      <c r="I84" t="s">
        <v>226</v>
      </c>
      <c r="J84" t="s">
        <v>500</v>
      </c>
      <c r="K84" s="3">
        <f t="shared" si="13"/>
        <v>0.35743119266055046</v>
      </c>
      <c r="L84" s="7">
        <f t="shared" si="14"/>
        <v>0.1948</v>
      </c>
      <c r="M84" s="9">
        <f t="shared" si="15"/>
        <v>54.5</v>
      </c>
      <c r="N84" s="3">
        <v>0.35743119266055046</v>
      </c>
      <c r="O84" s="3">
        <f t="shared" si="16"/>
        <v>-30.441478439425047</v>
      </c>
      <c r="P84" s="11">
        <f t="shared" si="17"/>
        <v>0.13550000000000001</v>
      </c>
      <c r="Q84" s="3">
        <v>-30.441478439425047</v>
      </c>
      <c r="R84" s="14">
        <f t="shared" si="18"/>
        <v>1900</v>
      </c>
      <c r="S84">
        <f t="shared" si="11"/>
        <v>2</v>
      </c>
      <c r="T84" t="str">
        <f t="shared" si="12"/>
        <v>950:27</v>
      </c>
      <c r="U84" s="4">
        <f t="shared" si="19"/>
        <v>54</v>
      </c>
    </row>
    <row r="85" spans="1:21">
      <c r="A85">
        <v>84</v>
      </c>
      <c r="B85" t="s">
        <v>409</v>
      </c>
      <c r="C85">
        <v>86</v>
      </c>
      <c r="D85" t="s">
        <v>73</v>
      </c>
      <c r="E85" t="s">
        <v>406</v>
      </c>
      <c r="F85" t="s">
        <v>93</v>
      </c>
      <c r="G85" s="1">
        <v>8.1799999999999998E-2</v>
      </c>
      <c r="H85" t="s">
        <v>28</v>
      </c>
      <c r="I85" t="s">
        <v>132</v>
      </c>
      <c r="J85" t="s">
        <v>23</v>
      </c>
      <c r="K85" s="3">
        <f t="shared" si="13"/>
        <v>4.2201834862385317</v>
      </c>
      <c r="L85" s="7">
        <f t="shared" si="14"/>
        <v>2.2999999999999998</v>
      </c>
      <c r="M85" s="9">
        <f t="shared" si="15"/>
        <v>54.5</v>
      </c>
      <c r="N85" s="3">
        <v>4.2201834862385317</v>
      </c>
      <c r="O85" s="3">
        <f t="shared" si="16"/>
        <v>91.304347826086982</v>
      </c>
      <c r="P85" s="11">
        <f t="shared" si="17"/>
        <v>4.4000000000000004</v>
      </c>
      <c r="Q85" s="3">
        <v>91.304347826086982</v>
      </c>
      <c r="R85" s="14">
        <f t="shared" si="18"/>
        <v>1500</v>
      </c>
      <c r="S85">
        <f t="shared" si="11"/>
        <v>6</v>
      </c>
      <c r="T85" t="str">
        <f t="shared" si="12"/>
        <v>250:9</v>
      </c>
      <c r="U85" s="4">
        <f t="shared" si="19"/>
        <v>54</v>
      </c>
    </row>
    <row r="86" spans="1:21">
      <c r="A86">
        <v>85</v>
      </c>
      <c r="B86" t="s">
        <v>410</v>
      </c>
      <c r="C86">
        <v>79</v>
      </c>
      <c r="D86" t="s">
        <v>96</v>
      </c>
      <c r="E86" t="s">
        <v>411</v>
      </c>
      <c r="F86" t="s">
        <v>153</v>
      </c>
      <c r="G86" s="1">
        <v>2.06E-2</v>
      </c>
      <c r="H86" t="s">
        <v>153</v>
      </c>
      <c r="I86" t="s">
        <v>412</v>
      </c>
      <c r="J86" t="s">
        <v>199</v>
      </c>
      <c r="K86" s="3">
        <f t="shared" si="13"/>
        <v>2.033271719038817</v>
      </c>
      <c r="L86" s="7">
        <f t="shared" si="14"/>
        <v>1.1000000000000001</v>
      </c>
      <c r="M86" s="9">
        <f t="shared" si="15"/>
        <v>54.1</v>
      </c>
      <c r="N86" s="3">
        <v>2.033271719038817</v>
      </c>
      <c r="O86" s="3">
        <f t="shared" si="16"/>
        <v>0</v>
      </c>
      <c r="P86" s="11">
        <f t="shared" si="17"/>
        <v>1.1000000000000001</v>
      </c>
      <c r="Q86" s="3">
        <v>0</v>
      </c>
      <c r="R86" s="14">
        <f t="shared" si="18"/>
        <v>3600</v>
      </c>
      <c r="S86">
        <f t="shared" si="11"/>
        <v>18</v>
      </c>
      <c r="T86" t="str">
        <f t="shared" si="12"/>
        <v>200:3</v>
      </c>
      <c r="U86" s="4">
        <f t="shared" si="19"/>
        <v>54</v>
      </c>
    </row>
    <row r="87" spans="1:21">
      <c r="A87">
        <v>86</v>
      </c>
      <c r="B87" t="s">
        <v>413</v>
      </c>
      <c r="C87">
        <v>86</v>
      </c>
      <c r="D87" t="s">
        <v>43</v>
      </c>
      <c r="E87" t="s">
        <v>414</v>
      </c>
      <c r="F87" t="s">
        <v>415</v>
      </c>
      <c r="G87" s="1">
        <v>5.1000000000000004E-3</v>
      </c>
      <c r="H87" t="s">
        <v>416</v>
      </c>
      <c r="I87" t="s">
        <v>315</v>
      </c>
      <c r="J87" t="s">
        <v>127</v>
      </c>
      <c r="K87" s="3">
        <f t="shared" si="13"/>
        <v>1.7807050092764378</v>
      </c>
      <c r="L87" s="7">
        <f t="shared" si="14"/>
        <v>0.95979999999999999</v>
      </c>
      <c r="M87" s="9">
        <f t="shared" si="15"/>
        <v>53.9</v>
      </c>
      <c r="N87" s="3">
        <v>1.7807050092764378</v>
      </c>
      <c r="O87" s="3">
        <f t="shared" si="16"/>
        <v>-72.233798708064185</v>
      </c>
      <c r="P87" s="11">
        <f t="shared" si="17"/>
        <v>0.26650000000000001</v>
      </c>
      <c r="Q87" s="3">
        <v>-72.233798708064185</v>
      </c>
      <c r="R87" s="14">
        <f t="shared" si="18"/>
        <v>5400</v>
      </c>
      <c r="S87">
        <f t="shared" si="11"/>
        <v>1</v>
      </c>
      <c r="T87" t="str">
        <f t="shared" si="12"/>
        <v>5400:53</v>
      </c>
      <c r="U87" s="4">
        <f t="shared" si="19"/>
        <v>53</v>
      </c>
    </row>
    <row r="88" spans="1:21">
      <c r="A88">
        <v>87</v>
      </c>
      <c r="B88" t="s">
        <v>417</v>
      </c>
      <c r="C88">
        <v>76</v>
      </c>
      <c r="D88" t="s">
        <v>118</v>
      </c>
      <c r="E88" t="s">
        <v>418</v>
      </c>
      <c r="F88" t="s">
        <v>99</v>
      </c>
      <c r="G88" s="1">
        <v>1.3299999999999999E-2</v>
      </c>
      <c r="H88" t="s">
        <v>419</v>
      </c>
      <c r="I88" t="s">
        <v>121</v>
      </c>
      <c r="J88" t="s">
        <v>256</v>
      </c>
      <c r="K88" s="3">
        <f t="shared" si="13"/>
        <v>2.6168224299065419</v>
      </c>
      <c r="L88" s="7">
        <f t="shared" si="14"/>
        <v>1.4</v>
      </c>
      <c r="M88" s="9">
        <f t="shared" si="15"/>
        <v>53.5</v>
      </c>
      <c r="N88" s="3">
        <v>2.6168224299065419</v>
      </c>
      <c r="O88" s="3">
        <f t="shared" si="16"/>
        <v>-50.435714285714283</v>
      </c>
      <c r="P88" s="11">
        <f t="shared" si="17"/>
        <v>0.69389999999999996</v>
      </c>
      <c r="Q88" s="3">
        <v>-50.435714285714283</v>
      </c>
      <c r="R88" s="14">
        <f t="shared" si="18"/>
        <v>1600</v>
      </c>
      <c r="S88">
        <f t="shared" si="11"/>
        <v>1</v>
      </c>
      <c r="T88" t="str">
        <f t="shared" si="12"/>
        <v>1600:53</v>
      </c>
      <c r="U88" s="4">
        <f t="shared" si="19"/>
        <v>53</v>
      </c>
    </row>
    <row r="89" spans="1:21">
      <c r="A89">
        <v>88</v>
      </c>
      <c r="B89" t="s">
        <v>420</v>
      </c>
      <c r="C89">
        <v>86</v>
      </c>
      <c r="D89" t="s">
        <v>421</v>
      </c>
      <c r="E89" t="s">
        <v>422</v>
      </c>
      <c r="F89" t="s">
        <v>423</v>
      </c>
      <c r="G89" s="1">
        <v>2.0500000000000001E-2</v>
      </c>
      <c r="H89" t="s">
        <v>153</v>
      </c>
      <c r="I89" t="s">
        <v>94</v>
      </c>
      <c r="J89" t="s">
        <v>23</v>
      </c>
      <c r="K89" s="3">
        <f t="shared" si="13"/>
        <v>5.6179775280898872</v>
      </c>
      <c r="L89" s="7">
        <f t="shared" si="14"/>
        <v>3</v>
      </c>
      <c r="M89" s="9">
        <f t="shared" si="15"/>
        <v>53.4</v>
      </c>
      <c r="N89" s="3">
        <v>5.6179775280898872</v>
      </c>
      <c r="O89" s="3">
        <f t="shared" si="16"/>
        <v>-63.333333333333329</v>
      </c>
      <c r="P89" s="11">
        <f t="shared" si="17"/>
        <v>1.1000000000000001</v>
      </c>
      <c r="Q89" s="3">
        <v>-63.333333333333329</v>
      </c>
      <c r="R89" s="14">
        <f t="shared" si="18"/>
        <v>1300</v>
      </c>
      <c r="S89">
        <f t="shared" si="11"/>
        <v>1</v>
      </c>
      <c r="T89" t="str">
        <f t="shared" si="12"/>
        <v>1300:53</v>
      </c>
      <c r="U89" s="4">
        <f t="shared" si="19"/>
        <v>53</v>
      </c>
    </row>
    <row r="90" spans="1:21">
      <c r="A90">
        <v>89</v>
      </c>
      <c r="B90" t="s">
        <v>424</v>
      </c>
      <c r="C90">
        <v>84</v>
      </c>
      <c r="D90" t="s">
        <v>425</v>
      </c>
      <c r="E90" t="s">
        <v>422</v>
      </c>
      <c r="F90" t="s">
        <v>426</v>
      </c>
      <c r="G90" s="1">
        <v>5.7000000000000002E-3</v>
      </c>
      <c r="H90" t="s">
        <v>427</v>
      </c>
      <c r="I90" t="s">
        <v>255</v>
      </c>
      <c r="J90" t="s">
        <v>256</v>
      </c>
      <c r="K90" s="3">
        <f t="shared" si="13"/>
        <v>1.4307116104868913</v>
      </c>
      <c r="L90" s="7">
        <f t="shared" si="14"/>
        <v>0.76400000000000001</v>
      </c>
      <c r="M90" s="9">
        <f t="shared" si="15"/>
        <v>53.4</v>
      </c>
      <c r="N90" s="3">
        <v>1.4307116104868913</v>
      </c>
      <c r="O90" s="3">
        <f t="shared" si="16"/>
        <v>-60.562827225130889</v>
      </c>
      <c r="P90" s="11">
        <f t="shared" si="17"/>
        <v>0.30130000000000001</v>
      </c>
      <c r="Q90" s="3">
        <v>-60.562827225130889</v>
      </c>
      <c r="R90" s="14">
        <f t="shared" si="18"/>
        <v>3500</v>
      </c>
      <c r="S90">
        <f t="shared" si="11"/>
        <v>1</v>
      </c>
      <c r="T90" t="str">
        <f t="shared" si="12"/>
        <v>3500:53</v>
      </c>
      <c r="U90" s="4">
        <f t="shared" si="19"/>
        <v>53</v>
      </c>
    </row>
    <row r="91" spans="1:21">
      <c r="A91">
        <v>90</v>
      </c>
      <c r="B91" t="s">
        <v>428</v>
      </c>
      <c r="C91">
        <v>83</v>
      </c>
      <c r="D91" t="s">
        <v>210</v>
      </c>
      <c r="E91" t="s">
        <v>429</v>
      </c>
      <c r="F91" t="s">
        <v>99</v>
      </c>
      <c r="G91" s="1">
        <v>1.0200000000000001E-2</v>
      </c>
      <c r="H91" t="s">
        <v>430</v>
      </c>
      <c r="I91" t="s">
        <v>221</v>
      </c>
      <c r="J91" t="s">
        <v>23</v>
      </c>
      <c r="K91" s="3">
        <f t="shared" si="13"/>
        <v>2.6315789473684208</v>
      </c>
      <c r="L91" s="7">
        <f t="shared" si="14"/>
        <v>1.4</v>
      </c>
      <c r="M91" s="9">
        <f t="shared" si="15"/>
        <v>53.2</v>
      </c>
      <c r="N91" s="3">
        <v>2.6315789473684208</v>
      </c>
      <c r="O91" s="3">
        <f t="shared" si="16"/>
        <v>-62.028571428571425</v>
      </c>
      <c r="P91" s="11">
        <f t="shared" si="17"/>
        <v>0.53160000000000007</v>
      </c>
      <c r="Q91" s="3">
        <v>-62.028571428571425</v>
      </c>
      <c r="R91" s="14">
        <f t="shared" si="18"/>
        <v>5100</v>
      </c>
      <c r="S91">
        <f t="shared" si="11"/>
        <v>1</v>
      </c>
      <c r="T91" t="str">
        <f t="shared" si="12"/>
        <v>5100:53</v>
      </c>
      <c r="U91" s="4">
        <f t="shared" si="19"/>
        <v>53</v>
      </c>
    </row>
    <row r="92" spans="1:21">
      <c r="A92">
        <v>91</v>
      </c>
      <c r="B92" t="s">
        <v>431</v>
      </c>
      <c r="C92">
        <v>74</v>
      </c>
      <c r="D92" t="s">
        <v>432</v>
      </c>
      <c r="E92" t="s">
        <v>433</v>
      </c>
      <c r="F92" t="s">
        <v>214</v>
      </c>
      <c r="G92" s="1">
        <v>1.8499999999999999E-2</v>
      </c>
      <c r="H92" t="s">
        <v>434</v>
      </c>
      <c r="I92" t="s">
        <v>184</v>
      </c>
      <c r="J92" t="s">
        <v>23</v>
      </c>
      <c r="K92" s="3">
        <f t="shared" si="13"/>
        <v>3.0188679245283021</v>
      </c>
      <c r="L92" s="7">
        <f t="shared" si="14"/>
        <v>1.6</v>
      </c>
      <c r="M92" s="9">
        <f t="shared" si="15"/>
        <v>53</v>
      </c>
      <c r="N92" s="3">
        <v>3.0188679245283021</v>
      </c>
      <c r="O92" s="3">
        <f t="shared" si="16"/>
        <v>-39.268750000000004</v>
      </c>
      <c r="P92" s="11">
        <f t="shared" si="17"/>
        <v>0.97170000000000001</v>
      </c>
      <c r="Q92" s="3">
        <v>-39.268750000000004</v>
      </c>
      <c r="R92" s="14">
        <f t="shared" si="18"/>
        <v>3400</v>
      </c>
      <c r="S92">
        <f t="shared" si="11"/>
        <v>1</v>
      </c>
      <c r="T92" t="str">
        <f t="shared" si="12"/>
        <v>3400:53</v>
      </c>
      <c r="U92" s="4">
        <f t="shared" si="19"/>
        <v>53</v>
      </c>
    </row>
    <row r="93" spans="1:21">
      <c r="A93">
        <v>92</v>
      </c>
      <c r="B93" t="s">
        <v>435</v>
      </c>
      <c r="C93">
        <v>87</v>
      </c>
      <c r="D93" t="s">
        <v>436</v>
      </c>
      <c r="E93" t="s">
        <v>437</v>
      </c>
      <c r="F93" t="s">
        <v>153</v>
      </c>
      <c r="G93" s="1">
        <v>1.06E-2</v>
      </c>
      <c r="H93" t="s">
        <v>438</v>
      </c>
      <c r="I93" t="s">
        <v>208</v>
      </c>
      <c r="J93" t="s">
        <v>16</v>
      </c>
      <c r="K93" s="3">
        <f t="shared" si="13"/>
        <v>2.0833333333333335</v>
      </c>
      <c r="L93" s="7">
        <f t="shared" si="14"/>
        <v>1.1000000000000001</v>
      </c>
      <c r="M93" s="9">
        <f t="shared" si="15"/>
        <v>52.8</v>
      </c>
      <c r="N93" s="3">
        <v>2.0833333333333335</v>
      </c>
      <c r="O93" s="3">
        <f t="shared" si="16"/>
        <v>-49.281818181818188</v>
      </c>
      <c r="P93" s="11">
        <f t="shared" si="17"/>
        <v>0.55789999999999995</v>
      </c>
      <c r="Q93" s="3">
        <v>-49.281818181818188</v>
      </c>
      <c r="R93" s="14">
        <f t="shared" si="18"/>
        <v>2500</v>
      </c>
      <c r="S93">
        <f t="shared" si="11"/>
        <v>4</v>
      </c>
      <c r="T93" t="str">
        <f t="shared" si="12"/>
        <v>625:13</v>
      </c>
      <c r="U93" s="4">
        <f t="shared" si="19"/>
        <v>52</v>
      </c>
    </row>
    <row r="94" spans="1:21">
      <c r="A94">
        <v>93</v>
      </c>
      <c r="B94" t="s">
        <v>439</v>
      </c>
      <c r="C94">
        <v>87</v>
      </c>
      <c r="D94" t="s">
        <v>79</v>
      </c>
      <c r="E94" t="s">
        <v>437</v>
      </c>
      <c r="F94" t="s">
        <v>440</v>
      </c>
      <c r="G94" s="1">
        <v>6.6E-3</v>
      </c>
      <c r="H94" t="s">
        <v>441</v>
      </c>
      <c r="I94" t="s">
        <v>266</v>
      </c>
      <c r="J94" t="s">
        <v>893</v>
      </c>
      <c r="K94" s="3">
        <f t="shared" si="13"/>
        <v>1.6628787878787878</v>
      </c>
      <c r="L94" s="7">
        <f t="shared" si="14"/>
        <v>0.878</v>
      </c>
      <c r="M94" s="9">
        <f t="shared" si="15"/>
        <v>52.8</v>
      </c>
      <c r="N94" s="3">
        <v>1.6628787878787878</v>
      </c>
      <c r="O94" s="3">
        <f t="shared" si="16"/>
        <v>-61.218678815489746</v>
      </c>
      <c r="P94" s="11">
        <f t="shared" si="17"/>
        <v>0.34050000000000002</v>
      </c>
      <c r="Q94" s="3">
        <v>-61.218678815489746</v>
      </c>
      <c r="R94" s="14">
        <f t="shared" si="18"/>
        <v>8800</v>
      </c>
      <c r="S94">
        <f t="shared" si="11"/>
        <v>4</v>
      </c>
      <c r="T94" t="str">
        <f t="shared" si="12"/>
        <v>2200:13</v>
      </c>
      <c r="U94" s="4">
        <f t="shared" si="19"/>
        <v>52</v>
      </c>
    </row>
    <row r="95" spans="1:21">
      <c r="A95">
        <v>94</v>
      </c>
      <c r="B95" t="s">
        <v>442</v>
      </c>
      <c r="C95">
        <v>22</v>
      </c>
      <c r="D95" t="s">
        <v>443</v>
      </c>
      <c r="E95" t="s">
        <v>444</v>
      </c>
      <c r="F95" t="s">
        <v>114</v>
      </c>
      <c r="G95" s="1">
        <v>2.18E-2</v>
      </c>
      <c r="H95" t="s">
        <v>153</v>
      </c>
      <c r="I95" t="s">
        <v>132</v>
      </c>
      <c r="J95" t="s">
        <v>894</v>
      </c>
      <c r="K95" s="3">
        <f t="shared" si="13"/>
        <v>3.4285714285714288</v>
      </c>
      <c r="L95" s="7">
        <f t="shared" si="14"/>
        <v>1.8</v>
      </c>
      <c r="M95" s="9">
        <f t="shared" si="15"/>
        <v>52.5</v>
      </c>
      <c r="N95" s="3">
        <v>3.4285714285714288</v>
      </c>
      <c r="O95" s="3">
        <f t="shared" si="16"/>
        <v>-38.888888888888886</v>
      </c>
      <c r="P95" s="11">
        <f t="shared" si="17"/>
        <v>1.1000000000000001</v>
      </c>
      <c r="Q95" s="3">
        <v>-38.888888888888886</v>
      </c>
      <c r="R95" s="14">
        <f t="shared" si="18"/>
        <v>1500</v>
      </c>
      <c r="S95">
        <f t="shared" si="11"/>
        <v>4</v>
      </c>
      <c r="T95" t="str">
        <f t="shared" si="12"/>
        <v>375:13</v>
      </c>
      <c r="U95" s="4">
        <f t="shared" si="19"/>
        <v>52</v>
      </c>
    </row>
    <row r="96" spans="1:21">
      <c r="A96">
        <v>95</v>
      </c>
      <c r="B96" t="s">
        <v>445</v>
      </c>
      <c r="C96">
        <v>85</v>
      </c>
      <c r="D96" t="s">
        <v>79</v>
      </c>
      <c r="E96" t="s">
        <v>446</v>
      </c>
      <c r="F96" t="s">
        <v>447</v>
      </c>
      <c r="G96" s="1">
        <v>1.1000000000000001E-3</v>
      </c>
      <c r="H96" t="s">
        <v>448</v>
      </c>
      <c r="I96" t="s">
        <v>132</v>
      </c>
      <c r="J96" t="s">
        <v>323</v>
      </c>
      <c r="K96" s="3">
        <f t="shared" si="13"/>
        <v>0.28110687022900765</v>
      </c>
      <c r="L96" s="7">
        <f t="shared" si="14"/>
        <v>0.14730000000000001</v>
      </c>
      <c r="M96" s="9">
        <f t="shared" si="15"/>
        <v>52.4</v>
      </c>
      <c r="N96" s="3">
        <v>0.28110687022900765</v>
      </c>
      <c r="O96" s="3">
        <f t="shared" si="16"/>
        <v>-61.778682959945698</v>
      </c>
      <c r="P96" s="11">
        <f t="shared" si="17"/>
        <v>5.6299999999999996E-2</v>
      </c>
      <c r="Q96" s="3">
        <v>-61.778682959945698</v>
      </c>
      <c r="R96" s="14">
        <f t="shared" si="18"/>
        <v>1500</v>
      </c>
      <c r="S96">
        <f t="shared" si="11"/>
        <v>4</v>
      </c>
      <c r="T96" t="str">
        <f t="shared" si="12"/>
        <v>375:13</v>
      </c>
      <c r="U96" s="4">
        <f t="shared" si="19"/>
        <v>52</v>
      </c>
    </row>
    <row r="97" spans="1:21">
      <c r="A97">
        <v>96</v>
      </c>
      <c r="B97">
        <v>433</v>
      </c>
      <c r="C97">
        <v>79</v>
      </c>
      <c r="D97" t="s">
        <v>449</v>
      </c>
      <c r="E97" t="s">
        <v>450</v>
      </c>
      <c r="F97" t="s">
        <v>451</v>
      </c>
      <c r="G97" s="1">
        <v>1.52E-2</v>
      </c>
      <c r="H97" t="s">
        <v>452</v>
      </c>
      <c r="I97" t="s">
        <v>453</v>
      </c>
      <c r="J97" t="s">
        <v>178</v>
      </c>
      <c r="K97" s="3">
        <f t="shared" si="13"/>
        <v>1.6859374999999999</v>
      </c>
      <c r="L97" s="7">
        <f t="shared" si="14"/>
        <v>0.86320000000000008</v>
      </c>
      <c r="M97" s="9">
        <f t="shared" si="15"/>
        <v>51.2</v>
      </c>
      <c r="N97" s="3">
        <v>1.6859374999999999</v>
      </c>
      <c r="O97" s="3">
        <f t="shared" si="16"/>
        <v>-10.310472659870259</v>
      </c>
      <c r="P97" s="11">
        <f t="shared" si="17"/>
        <v>0.7742</v>
      </c>
      <c r="Q97" s="3">
        <v>-10.310472659870259</v>
      </c>
      <c r="R97" s="14">
        <f t="shared" si="18"/>
        <v>8900</v>
      </c>
      <c r="S97">
        <f t="shared" si="11"/>
        <v>1</v>
      </c>
      <c r="T97" t="str">
        <f t="shared" si="12"/>
        <v>8900:51</v>
      </c>
      <c r="U97" s="4">
        <f t="shared" si="19"/>
        <v>51</v>
      </c>
    </row>
    <row r="98" spans="1:21">
      <c r="A98">
        <v>97</v>
      </c>
      <c r="B98" t="s">
        <v>454</v>
      </c>
      <c r="C98">
        <v>82</v>
      </c>
      <c r="D98" t="s">
        <v>342</v>
      </c>
      <c r="E98" t="s">
        <v>455</v>
      </c>
      <c r="F98" t="s">
        <v>456</v>
      </c>
      <c r="G98" s="1">
        <v>4.0000000000000002E-4</v>
      </c>
      <c r="H98" t="s">
        <v>457</v>
      </c>
      <c r="I98" t="s">
        <v>458</v>
      </c>
      <c r="J98" t="s">
        <v>23</v>
      </c>
      <c r="K98" s="3">
        <f t="shared" si="13"/>
        <v>0.36692913385826775</v>
      </c>
      <c r="L98" s="7">
        <f t="shared" si="14"/>
        <v>0.18640000000000001</v>
      </c>
      <c r="M98" s="9">
        <f t="shared" si="15"/>
        <v>50.8</v>
      </c>
      <c r="N98" s="3">
        <v>0.36692913385826775</v>
      </c>
      <c r="O98" s="3">
        <f t="shared" si="16"/>
        <v>-90.987124463519308</v>
      </c>
      <c r="P98" s="11">
        <f t="shared" si="17"/>
        <v>1.6800000000000002E-2</v>
      </c>
      <c r="Q98" s="3">
        <v>-90.987124463519308</v>
      </c>
      <c r="R98" s="14">
        <f t="shared" si="18"/>
        <v>453.6</v>
      </c>
      <c r="S98">
        <f t="shared" ref="S98:S129" si="20">GCD(U98,R98)</f>
        <v>1</v>
      </c>
      <c r="T98" t="str">
        <f t="shared" ref="T98:T129" si="21">R98/S98&amp;":"&amp;U98/S98</f>
        <v>453.6:50</v>
      </c>
      <c r="U98" s="4">
        <f t="shared" si="19"/>
        <v>50</v>
      </c>
    </row>
    <row r="99" spans="1:21">
      <c r="A99">
        <v>98</v>
      </c>
      <c r="B99" t="s">
        <v>459</v>
      </c>
      <c r="C99">
        <v>84</v>
      </c>
      <c r="D99" t="s">
        <v>421</v>
      </c>
      <c r="E99" t="s">
        <v>460</v>
      </c>
      <c r="F99" t="s">
        <v>461</v>
      </c>
      <c r="G99" s="1">
        <v>3.8199999999999998E-2</v>
      </c>
      <c r="H99" t="s">
        <v>39</v>
      </c>
      <c r="I99" t="s">
        <v>231</v>
      </c>
      <c r="J99" t="s">
        <v>23</v>
      </c>
      <c r="K99" s="3">
        <f t="shared" si="13"/>
        <v>9.2702169625246551</v>
      </c>
      <c r="L99" s="7">
        <f t="shared" si="14"/>
        <v>4.7</v>
      </c>
      <c r="M99" s="9">
        <f t="shared" si="15"/>
        <v>50.7</v>
      </c>
      <c r="N99" s="3">
        <v>9.2702169625246551</v>
      </c>
      <c r="O99" s="3">
        <f t="shared" si="16"/>
        <v>-59.574468085106389</v>
      </c>
      <c r="P99" s="11">
        <f t="shared" si="17"/>
        <v>1.9</v>
      </c>
      <c r="Q99" s="3">
        <v>-59.574468085106389</v>
      </c>
      <c r="R99" s="14">
        <f t="shared" si="18"/>
        <v>2000</v>
      </c>
      <c r="S99">
        <f t="shared" si="20"/>
        <v>50</v>
      </c>
      <c r="T99" t="str">
        <f t="shared" si="21"/>
        <v>40:1</v>
      </c>
      <c r="U99" s="4">
        <f t="shared" si="19"/>
        <v>50</v>
      </c>
    </row>
    <row r="100" spans="1:21">
      <c r="A100">
        <v>99</v>
      </c>
      <c r="B100" t="s">
        <v>462</v>
      </c>
      <c r="C100">
        <v>85</v>
      </c>
      <c r="D100" t="s">
        <v>463</v>
      </c>
      <c r="E100" t="s">
        <v>460</v>
      </c>
      <c r="F100" t="s">
        <v>464</v>
      </c>
      <c r="G100" s="1">
        <v>1.2200000000000001E-2</v>
      </c>
      <c r="H100" t="s">
        <v>465</v>
      </c>
      <c r="I100" t="s">
        <v>466</v>
      </c>
      <c r="J100" t="s">
        <v>23</v>
      </c>
      <c r="K100" s="3">
        <f t="shared" si="13"/>
        <v>1.3816568047337279</v>
      </c>
      <c r="L100" s="7">
        <f t="shared" si="14"/>
        <v>0.70050000000000001</v>
      </c>
      <c r="M100" s="9">
        <f t="shared" si="15"/>
        <v>50.7</v>
      </c>
      <c r="N100" s="3">
        <v>1.3816568047337279</v>
      </c>
      <c r="O100" s="3">
        <f t="shared" si="16"/>
        <v>-12.74803711634546</v>
      </c>
      <c r="P100" s="11">
        <f t="shared" si="17"/>
        <v>0.61120000000000008</v>
      </c>
      <c r="Q100" s="3">
        <v>-12.74803711634546</v>
      </c>
      <c r="R100" s="14">
        <f t="shared" si="18"/>
        <v>421.7</v>
      </c>
      <c r="S100">
        <f t="shared" si="20"/>
        <v>1</v>
      </c>
      <c r="T100" t="str">
        <f t="shared" si="21"/>
        <v>421.7:50</v>
      </c>
      <c r="U100" s="4">
        <f t="shared" si="19"/>
        <v>50</v>
      </c>
    </row>
    <row r="101" spans="1:21">
      <c r="A101">
        <v>100</v>
      </c>
      <c r="B101" t="s">
        <v>467</v>
      </c>
      <c r="C101">
        <v>76</v>
      </c>
      <c r="D101" t="s">
        <v>364</v>
      </c>
      <c r="E101" t="s">
        <v>468</v>
      </c>
      <c r="F101" t="s">
        <v>469</v>
      </c>
      <c r="G101" s="1">
        <v>1.21E-2</v>
      </c>
      <c r="H101" t="s">
        <v>470</v>
      </c>
      <c r="I101" t="s">
        <v>471</v>
      </c>
      <c r="J101" t="s">
        <v>256</v>
      </c>
      <c r="K101" s="3">
        <f t="shared" si="13"/>
        <v>1.787250996015936</v>
      </c>
      <c r="L101" s="7">
        <f t="shared" si="14"/>
        <v>0.8972</v>
      </c>
      <c r="M101" s="9">
        <f t="shared" si="15"/>
        <v>50.2</v>
      </c>
      <c r="N101" s="3">
        <v>1.787250996015936</v>
      </c>
      <c r="O101" s="3">
        <f t="shared" si="16"/>
        <v>-32.63486402139992</v>
      </c>
      <c r="P101" s="11">
        <f t="shared" si="17"/>
        <v>0.60439999999999994</v>
      </c>
      <c r="Q101" s="3">
        <v>-32.63486402139992</v>
      </c>
      <c r="R101" s="14">
        <f t="shared" si="18"/>
        <v>2400</v>
      </c>
      <c r="S101">
        <f t="shared" si="20"/>
        <v>50</v>
      </c>
      <c r="T101" t="str">
        <f t="shared" si="21"/>
        <v>48:1</v>
      </c>
      <c r="U101" s="4">
        <f t="shared" si="19"/>
        <v>50</v>
      </c>
    </row>
    <row r="102" spans="1:21">
      <c r="A102">
        <v>101</v>
      </c>
      <c r="B102" t="s">
        <v>472</v>
      </c>
      <c r="C102">
        <v>86</v>
      </c>
      <c r="D102" t="s">
        <v>473</v>
      </c>
      <c r="E102" t="s">
        <v>474</v>
      </c>
      <c r="F102" t="s">
        <v>99</v>
      </c>
      <c r="G102" s="1">
        <v>7.4999999999999997E-3</v>
      </c>
      <c r="H102" t="s">
        <v>475</v>
      </c>
      <c r="I102" t="s">
        <v>132</v>
      </c>
      <c r="J102" t="s">
        <v>337</v>
      </c>
      <c r="K102" s="3">
        <f t="shared" si="13"/>
        <v>2.8056112224448899</v>
      </c>
      <c r="L102" s="7">
        <f t="shared" si="14"/>
        <v>1.4</v>
      </c>
      <c r="M102" s="9">
        <f t="shared" si="15"/>
        <v>49.9</v>
      </c>
      <c r="N102" s="3">
        <v>2.8056112224448899</v>
      </c>
      <c r="O102" s="3">
        <f t="shared" si="16"/>
        <v>-74.007142857142853</v>
      </c>
      <c r="P102" s="11">
        <f t="shared" si="17"/>
        <v>0.3639</v>
      </c>
      <c r="Q102" s="3">
        <v>-74.007142857142853</v>
      </c>
      <c r="R102" s="14">
        <f t="shared" si="18"/>
        <v>1500</v>
      </c>
      <c r="S102">
        <f t="shared" si="20"/>
        <v>1</v>
      </c>
      <c r="T102" t="str">
        <f t="shared" si="21"/>
        <v>1500:49</v>
      </c>
      <c r="U102" s="4">
        <f t="shared" si="19"/>
        <v>49</v>
      </c>
    </row>
    <row r="103" spans="1:21">
      <c r="A103">
        <v>102</v>
      </c>
      <c r="B103" t="s">
        <v>476</v>
      </c>
      <c r="C103">
        <v>80</v>
      </c>
      <c r="D103" t="s">
        <v>106</v>
      </c>
      <c r="E103" t="s">
        <v>477</v>
      </c>
      <c r="F103" t="s">
        <v>478</v>
      </c>
      <c r="G103" s="1">
        <v>9.1000000000000004E-3</v>
      </c>
      <c r="H103" t="s">
        <v>479</v>
      </c>
      <c r="I103" t="s">
        <v>204</v>
      </c>
      <c r="J103" t="s">
        <v>23</v>
      </c>
      <c r="K103" s="3">
        <f t="shared" si="13"/>
        <v>0.71790744466800793</v>
      </c>
      <c r="L103" s="7">
        <f t="shared" si="14"/>
        <v>0.35680000000000001</v>
      </c>
      <c r="M103" s="9">
        <f t="shared" si="15"/>
        <v>49.7</v>
      </c>
      <c r="N103" s="3">
        <v>0.71790744466800793</v>
      </c>
      <c r="O103" s="3">
        <f t="shared" si="16"/>
        <v>26.933856502242143</v>
      </c>
      <c r="P103" s="11">
        <f t="shared" si="17"/>
        <v>0.45289999999999997</v>
      </c>
      <c r="Q103" s="3">
        <v>26.933856502242143</v>
      </c>
      <c r="R103" s="14">
        <f t="shared" si="18"/>
        <v>2300</v>
      </c>
      <c r="S103">
        <f t="shared" si="20"/>
        <v>1</v>
      </c>
      <c r="T103" t="str">
        <f t="shared" si="21"/>
        <v>2300:49</v>
      </c>
      <c r="U103" s="4">
        <f t="shared" si="19"/>
        <v>49</v>
      </c>
    </row>
    <row r="104" spans="1:21">
      <c r="A104">
        <v>103</v>
      </c>
      <c r="B104" t="s">
        <v>480</v>
      </c>
      <c r="C104">
        <v>83</v>
      </c>
      <c r="D104" t="s">
        <v>481</v>
      </c>
      <c r="E104" t="s">
        <v>482</v>
      </c>
      <c r="F104" t="s">
        <v>483</v>
      </c>
      <c r="G104" s="1">
        <v>0.25800000000000001</v>
      </c>
      <c r="H104" t="s">
        <v>484</v>
      </c>
      <c r="I104" t="s">
        <v>485</v>
      </c>
      <c r="J104" t="s">
        <v>892</v>
      </c>
      <c r="K104" s="3">
        <f t="shared" si="13"/>
        <v>31.237322515212984</v>
      </c>
      <c r="L104" s="7">
        <f t="shared" si="14"/>
        <v>15.4</v>
      </c>
      <c r="M104" s="9">
        <f t="shared" si="15"/>
        <v>49.3</v>
      </c>
      <c r="N104" s="3">
        <v>31.237322515212984</v>
      </c>
      <c r="O104" s="3">
        <f t="shared" si="16"/>
        <v>-18.181818181818183</v>
      </c>
      <c r="P104" s="11">
        <f t="shared" si="17"/>
        <v>12.6</v>
      </c>
      <c r="Q104" s="3">
        <v>-18.181818181818183</v>
      </c>
      <c r="R104" s="14">
        <f t="shared" si="18"/>
        <v>987.4</v>
      </c>
      <c r="S104">
        <f t="shared" si="20"/>
        <v>7</v>
      </c>
      <c r="T104" t="str">
        <f t="shared" si="21"/>
        <v>141.057142857143:7</v>
      </c>
      <c r="U104" s="4">
        <f t="shared" si="19"/>
        <v>49</v>
      </c>
    </row>
    <row r="105" spans="1:21">
      <c r="A105">
        <v>104</v>
      </c>
      <c r="B105" t="s">
        <v>486</v>
      </c>
      <c r="C105">
        <v>81</v>
      </c>
      <c r="D105" t="s">
        <v>264</v>
      </c>
      <c r="E105" t="s">
        <v>487</v>
      </c>
      <c r="F105" t="s">
        <v>63</v>
      </c>
      <c r="G105" s="1">
        <v>3.5499999999999997E-2</v>
      </c>
      <c r="H105" t="s">
        <v>98</v>
      </c>
      <c r="I105" t="s">
        <v>488</v>
      </c>
      <c r="J105" t="s">
        <v>23</v>
      </c>
      <c r="K105" s="3">
        <f t="shared" si="13"/>
        <v>4.8780487804878048</v>
      </c>
      <c r="L105" s="7">
        <f t="shared" si="14"/>
        <v>2.4</v>
      </c>
      <c r="M105" s="9">
        <f t="shared" si="15"/>
        <v>49.2</v>
      </c>
      <c r="N105" s="3">
        <v>4.8780487804878048</v>
      </c>
      <c r="O105" s="3">
        <f t="shared" si="16"/>
        <v>-29.166666666666668</v>
      </c>
      <c r="P105" s="11">
        <f t="shared" si="17"/>
        <v>1.7</v>
      </c>
      <c r="Q105" s="3">
        <v>-29.166666666666668</v>
      </c>
      <c r="R105" s="14">
        <f t="shared" si="18"/>
        <v>6100</v>
      </c>
      <c r="S105">
        <f t="shared" si="20"/>
        <v>1</v>
      </c>
      <c r="T105" t="str">
        <f t="shared" si="21"/>
        <v>6100:49</v>
      </c>
      <c r="U105" s="4">
        <f t="shared" si="19"/>
        <v>49</v>
      </c>
    </row>
    <row r="106" spans="1:21">
      <c r="A106">
        <v>105</v>
      </c>
      <c r="B106" t="s">
        <v>489</v>
      </c>
      <c r="C106">
        <v>80</v>
      </c>
      <c r="D106" t="s">
        <v>490</v>
      </c>
      <c r="E106" t="s">
        <v>491</v>
      </c>
      <c r="F106" t="s">
        <v>492</v>
      </c>
      <c r="G106" s="1">
        <v>3.2800000000000003E-2</v>
      </c>
      <c r="H106" t="s">
        <v>214</v>
      </c>
      <c r="I106" t="s">
        <v>493</v>
      </c>
      <c r="J106" t="s">
        <v>23</v>
      </c>
      <c r="K106" s="3">
        <f t="shared" si="13"/>
        <v>8.5539714867617107</v>
      </c>
      <c r="L106" s="7">
        <f t="shared" si="14"/>
        <v>4.2</v>
      </c>
      <c r="M106" s="9">
        <f t="shared" si="15"/>
        <v>49.1</v>
      </c>
      <c r="N106" s="3">
        <v>8.5539714867617107</v>
      </c>
      <c r="O106" s="3">
        <f t="shared" si="16"/>
        <v>-61.904761904761905</v>
      </c>
      <c r="P106" s="11">
        <f t="shared" si="17"/>
        <v>1.6</v>
      </c>
      <c r="Q106" s="3">
        <v>-61.904761904761905</v>
      </c>
      <c r="R106" s="14">
        <f t="shared" si="18"/>
        <v>654.4</v>
      </c>
      <c r="S106">
        <f t="shared" si="20"/>
        <v>1</v>
      </c>
      <c r="T106" t="str">
        <f t="shared" si="21"/>
        <v>654.4:49</v>
      </c>
      <c r="U106" s="4">
        <f t="shared" si="19"/>
        <v>49</v>
      </c>
    </row>
    <row r="107" spans="1:21">
      <c r="A107">
        <v>106</v>
      </c>
      <c r="B107" t="s">
        <v>494</v>
      </c>
      <c r="C107">
        <v>86</v>
      </c>
      <c r="D107" t="s">
        <v>495</v>
      </c>
      <c r="E107" t="s">
        <v>496</v>
      </c>
      <c r="F107" t="s">
        <v>497</v>
      </c>
      <c r="G107" s="1">
        <v>1.5E-3</v>
      </c>
      <c r="H107" t="s">
        <v>498</v>
      </c>
      <c r="I107" t="s">
        <v>499</v>
      </c>
      <c r="J107" t="s">
        <v>500</v>
      </c>
      <c r="K107" s="3">
        <f t="shared" si="13"/>
        <v>0.23489795918367348</v>
      </c>
      <c r="L107" s="7">
        <f t="shared" si="14"/>
        <v>0.11509999999999999</v>
      </c>
      <c r="M107" s="9">
        <f t="shared" si="15"/>
        <v>49</v>
      </c>
      <c r="N107" s="3">
        <v>0.23489795918367348</v>
      </c>
      <c r="O107" s="3">
        <f t="shared" si="16"/>
        <v>-37.098175499565592</v>
      </c>
      <c r="P107" s="11">
        <f t="shared" si="17"/>
        <v>7.2400000000000006E-2</v>
      </c>
      <c r="Q107" s="3">
        <v>-37.098175499565592</v>
      </c>
      <c r="R107" s="14">
        <f t="shared" si="18"/>
        <v>1000</v>
      </c>
      <c r="S107">
        <f t="shared" si="20"/>
        <v>1</v>
      </c>
      <c r="T107" t="str">
        <f t="shared" si="21"/>
        <v>1000:49</v>
      </c>
      <c r="U107" s="4">
        <f t="shared" si="19"/>
        <v>49</v>
      </c>
    </row>
    <row r="108" spans="1:21">
      <c r="A108">
        <v>107</v>
      </c>
      <c r="B108" t="s">
        <v>501</v>
      </c>
      <c r="C108">
        <v>84</v>
      </c>
      <c r="D108" t="s">
        <v>502</v>
      </c>
      <c r="E108" t="s">
        <v>503</v>
      </c>
      <c r="F108" t="s">
        <v>504</v>
      </c>
      <c r="G108" s="1">
        <v>2.7000000000000001E-3</v>
      </c>
      <c r="H108" t="s">
        <v>505</v>
      </c>
      <c r="I108" t="s">
        <v>471</v>
      </c>
      <c r="J108" t="s">
        <v>323</v>
      </c>
      <c r="K108" s="3">
        <f t="shared" si="13"/>
        <v>0.76155419222903886</v>
      </c>
      <c r="L108" s="7">
        <f t="shared" si="14"/>
        <v>0.37239999999999995</v>
      </c>
      <c r="M108" s="9">
        <f t="shared" si="15"/>
        <v>48.9</v>
      </c>
      <c r="N108" s="3">
        <v>0.76155419222903886</v>
      </c>
      <c r="O108" s="3">
        <f t="shared" si="16"/>
        <v>-64.607948442534905</v>
      </c>
      <c r="P108" s="11">
        <f t="shared" si="17"/>
        <v>0.1318</v>
      </c>
      <c r="Q108" s="3">
        <v>-64.607948442534905</v>
      </c>
      <c r="R108" s="14">
        <f t="shared" si="18"/>
        <v>2400</v>
      </c>
      <c r="S108">
        <f t="shared" si="20"/>
        <v>48</v>
      </c>
      <c r="T108" t="str">
        <f t="shared" si="21"/>
        <v>50:1</v>
      </c>
      <c r="U108" s="4">
        <f t="shared" si="19"/>
        <v>48</v>
      </c>
    </row>
    <row r="109" spans="1:21">
      <c r="A109">
        <v>108</v>
      </c>
      <c r="B109" t="s">
        <v>506</v>
      </c>
      <c r="C109">
        <v>82</v>
      </c>
      <c r="D109" t="s">
        <v>502</v>
      </c>
      <c r="E109" t="s">
        <v>507</v>
      </c>
      <c r="F109" t="s">
        <v>508</v>
      </c>
      <c r="G109" s="1">
        <v>8.0000000000000004E-4</v>
      </c>
      <c r="H109" t="s">
        <v>509</v>
      </c>
      <c r="I109" t="s">
        <v>510</v>
      </c>
      <c r="J109" t="s">
        <v>349</v>
      </c>
      <c r="K109" s="3">
        <f t="shared" si="13"/>
        <v>0.26180698151950721</v>
      </c>
      <c r="L109" s="7">
        <f t="shared" si="14"/>
        <v>0.1275</v>
      </c>
      <c r="M109" s="9">
        <f t="shared" si="15"/>
        <v>48.7</v>
      </c>
      <c r="N109" s="3">
        <v>0.26180698151950721</v>
      </c>
      <c r="O109" s="3">
        <f t="shared" si="16"/>
        <v>-68.235294117647044</v>
      </c>
      <c r="P109" s="11">
        <f t="shared" si="17"/>
        <v>4.0500000000000001E-2</v>
      </c>
      <c r="Q109" s="3">
        <v>-68.235294117647044</v>
      </c>
      <c r="R109" s="14">
        <f t="shared" si="18"/>
        <v>824</v>
      </c>
      <c r="S109">
        <f t="shared" si="20"/>
        <v>8</v>
      </c>
      <c r="T109" t="str">
        <f t="shared" si="21"/>
        <v>103:6</v>
      </c>
      <c r="U109" s="4">
        <f t="shared" si="19"/>
        <v>48</v>
      </c>
    </row>
    <row r="110" spans="1:21">
      <c r="A110">
        <v>109</v>
      </c>
      <c r="B110" t="s">
        <v>511</v>
      </c>
      <c r="C110">
        <v>85</v>
      </c>
      <c r="D110" t="s">
        <v>196</v>
      </c>
      <c r="E110" t="s">
        <v>512</v>
      </c>
      <c r="F110" t="s">
        <v>114</v>
      </c>
      <c r="G110" s="1">
        <v>2.8799999999999999E-2</v>
      </c>
      <c r="H110" t="s">
        <v>99</v>
      </c>
      <c r="I110" t="s">
        <v>204</v>
      </c>
      <c r="J110" t="s">
        <v>500</v>
      </c>
      <c r="K110" s="3">
        <f t="shared" si="13"/>
        <v>3.7267080745341614</v>
      </c>
      <c r="L110" s="7">
        <f t="shared" si="14"/>
        <v>1.8</v>
      </c>
      <c r="M110" s="9">
        <f t="shared" si="15"/>
        <v>48.3</v>
      </c>
      <c r="N110" s="3">
        <v>3.7267080745341614</v>
      </c>
      <c r="O110" s="3">
        <f t="shared" si="16"/>
        <v>-22.222222222222229</v>
      </c>
      <c r="P110" s="11">
        <f t="shared" si="17"/>
        <v>1.4</v>
      </c>
      <c r="Q110" s="3">
        <v>-22.222222222222229</v>
      </c>
      <c r="R110" s="14">
        <f t="shared" si="18"/>
        <v>2300</v>
      </c>
      <c r="S110">
        <f t="shared" si="20"/>
        <v>4</v>
      </c>
      <c r="T110" t="str">
        <f t="shared" si="21"/>
        <v>575:12</v>
      </c>
      <c r="U110" s="4">
        <f t="shared" si="19"/>
        <v>48</v>
      </c>
    </row>
    <row r="111" spans="1:21">
      <c r="A111">
        <v>110</v>
      </c>
      <c r="B111" t="s">
        <v>513</v>
      </c>
      <c r="C111">
        <v>85</v>
      </c>
      <c r="D111" t="s">
        <v>102</v>
      </c>
      <c r="E111" t="s">
        <v>514</v>
      </c>
      <c r="F111" t="s">
        <v>108</v>
      </c>
      <c r="G111" s="1">
        <v>2.7699999999999999E-2</v>
      </c>
      <c r="H111" t="s">
        <v>115</v>
      </c>
      <c r="I111" t="s">
        <v>83</v>
      </c>
      <c r="J111" t="s">
        <v>892</v>
      </c>
      <c r="K111" s="3">
        <f t="shared" si="13"/>
        <v>4.3568464730290453</v>
      </c>
      <c r="L111" s="7">
        <f t="shared" si="14"/>
        <v>2.1</v>
      </c>
      <c r="M111" s="9">
        <f t="shared" si="15"/>
        <v>48.2</v>
      </c>
      <c r="N111" s="3">
        <v>4.3568464730290453</v>
      </c>
      <c r="O111" s="3">
        <f t="shared" si="16"/>
        <v>-38.095238095238095</v>
      </c>
      <c r="P111" s="11">
        <f t="shared" si="17"/>
        <v>1.3</v>
      </c>
      <c r="Q111" s="3">
        <v>-38.095238095238095</v>
      </c>
      <c r="R111" s="14">
        <f t="shared" si="18"/>
        <v>3000</v>
      </c>
      <c r="S111">
        <f t="shared" si="20"/>
        <v>24</v>
      </c>
      <c r="T111" t="str">
        <f t="shared" si="21"/>
        <v>125:2</v>
      </c>
      <c r="U111" s="4">
        <f t="shared" si="19"/>
        <v>48</v>
      </c>
    </row>
    <row r="112" spans="1:21">
      <c r="A112">
        <v>111</v>
      </c>
      <c r="B112" t="s">
        <v>515</v>
      </c>
      <c r="C112">
        <v>85</v>
      </c>
      <c r="D112" t="s">
        <v>516</v>
      </c>
      <c r="E112" t="s">
        <v>514</v>
      </c>
      <c r="F112" t="s">
        <v>214</v>
      </c>
      <c r="G112" s="1">
        <v>1.7500000000000002E-2</v>
      </c>
      <c r="H112" t="s">
        <v>517</v>
      </c>
      <c r="I112" t="s">
        <v>518</v>
      </c>
      <c r="J112" t="s">
        <v>23</v>
      </c>
      <c r="K112" s="3">
        <f t="shared" si="13"/>
        <v>3.3195020746887969</v>
      </c>
      <c r="L112" s="7">
        <f t="shared" si="14"/>
        <v>1.6</v>
      </c>
      <c r="M112" s="9">
        <f t="shared" si="15"/>
        <v>48.2</v>
      </c>
      <c r="N112" s="3">
        <v>3.3195020746887969</v>
      </c>
      <c r="O112" s="3">
        <f t="shared" si="16"/>
        <v>-47.412500000000009</v>
      </c>
      <c r="P112" s="11">
        <f t="shared" si="17"/>
        <v>0.84139999999999993</v>
      </c>
      <c r="Q112" s="3">
        <v>-47.412500000000009</v>
      </c>
      <c r="R112" s="14">
        <f t="shared" si="18"/>
        <v>283</v>
      </c>
      <c r="S112">
        <f t="shared" si="20"/>
        <v>1</v>
      </c>
      <c r="T112" t="str">
        <f t="shared" si="21"/>
        <v>283:48</v>
      </c>
      <c r="U112" s="4">
        <f t="shared" si="19"/>
        <v>48</v>
      </c>
    </row>
    <row r="113" spans="1:21">
      <c r="A113">
        <v>112</v>
      </c>
      <c r="B113" t="s">
        <v>519</v>
      </c>
      <c r="C113">
        <v>86</v>
      </c>
      <c r="D113" t="s">
        <v>520</v>
      </c>
      <c r="E113" t="s">
        <v>521</v>
      </c>
      <c r="F113" t="s">
        <v>522</v>
      </c>
      <c r="G113" s="1">
        <v>1.43E-2</v>
      </c>
      <c r="H113" t="s">
        <v>523</v>
      </c>
      <c r="I113" t="s">
        <v>524</v>
      </c>
      <c r="J113" t="s">
        <v>895</v>
      </c>
      <c r="K113" s="3">
        <f t="shared" si="13"/>
        <v>1.5862785862785862</v>
      </c>
      <c r="L113" s="7">
        <f t="shared" si="14"/>
        <v>0.76300000000000001</v>
      </c>
      <c r="M113" s="9">
        <f t="shared" si="15"/>
        <v>48.1</v>
      </c>
      <c r="N113" s="3">
        <v>1.5862785862785862</v>
      </c>
      <c r="O113" s="3">
        <f t="shared" si="16"/>
        <v>-10.707732634338154</v>
      </c>
      <c r="P113" s="11">
        <f t="shared" si="17"/>
        <v>0.68129999999999991</v>
      </c>
      <c r="Q113" s="3">
        <v>-10.707732634338154</v>
      </c>
      <c r="R113" s="14">
        <f t="shared" si="18"/>
        <v>753.1</v>
      </c>
      <c r="S113">
        <f t="shared" si="20"/>
        <v>3</v>
      </c>
      <c r="T113" t="str">
        <f t="shared" si="21"/>
        <v>251.033333333333:16</v>
      </c>
      <c r="U113" s="4">
        <f t="shared" si="19"/>
        <v>48</v>
      </c>
    </row>
    <row r="114" spans="1:21">
      <c r="A114">
        <v>113</v>
      </c>
      <c r="B114" t="s">
        <v>525</v>
      </c>
      <c r="C114">
        <v>85</v>
      </c>
      <c r="D114" t="s">
        <v>140</v>
      </c>
      <c r="E114" t="s">
        <v>526</v>
      </c>
      <c r="F114" t="s">
        <v>527</v>
      </c>
      <c r="G114" s="1">
        <v>4.1000000000000003E-3</v>
      </c>
      <c r="H114" t="s">
        <v>528</v>
      </c>
      <c r="I114" t="s">
        <v>121</v>
      </c>
      <c r="J114" t="s">
        <v>323</v>
      </c>
      <c r="K114" s="3">
        <f t="shared" si="13"/>
        <v>0.94884696016771486</v>
      </c>
      <c r="L114" s="7">
        <f t="shared" si="14"/>
        <v>0.4526</v>
      </c>
      <c r="M114" s="9">
        <f t="shared" si="15"/>
        <v>47.7</v>
      </c>
      <c r="N114" s="3">
        <v>0.94884696016771486</v>
      </c>
      <c r="O114" s="3">
        <f t="shared" si="16"/>
        <v>-58.108705258506411</v>
      </c>
      <c r="P114" s="11">
        <f t="shared" si="17"/>
        <v>0.18959999999999999</v>
      </c>
      <c r="Q114" s="3">
        <v>-58.108705258506411</v>
      </c>
      <c r="R114" s="14">
        <f t="shared" si="18"/>
        <v>1600</v>
      </c>
      <c r="S114">
        <f t="shared" si="20"/>
        <v>1</v>
      </c>
      <c r="T114" t="str">
        <f t="shared" si="21"/>
        <v>1600:47</v>
      </c>
      <c r="U114" s="4">
        <f t="shared" si="19"/>
        <v>47</v>
      </c>
    </row>
    <row r="115" spans="1:21">
      <c r="A115">
        <v>114</v>
      </c>
      <c r="B115" t="s">
        <v>529</v>
      </c>
      <c r="C115">
        <v>81</v>
      </c>
      <c r="D115" t="s">
        <v>161</v>
      </c>
      <c r="E115" t="s">
        <v>530</v>
      </c>
      <c r="F115" t="s">
        <v>531</v>
      </c>
      <c r="G115" s="1">
        <v>2.8999999999999998E-3</v>
      </c>
      <c r="H115" t="s">
        <v>532</v>
      </c>
      <c r="I115" t="s">
        <v>300</v>
      </c>
      <c r="J115" t="s">
        <v>533</v>
      </c>
      <c r="K115" s="3">
        <f t="shared" si="13"/>
        <v>1.5395348837209304</v>
      </c>
      <c r="L115" s="7">
        <f t="shared" si="14"/>
        <v>0.72820000000000007</v>
      </c>
      <c r="M115" s="9">
        <f t="shared" si="15"/>
        <v>47.3</v>
      </c>
      <c r="N115" s="3">
        <v>1.5395348837209304</v>
      </c>
      <c r="O115" s="3">
        <f t="shared" si="16"/>
        <v>-81.73578687173854</v>
      </c>
      <c r="P115" s="11">
        <f t="shared" si="17"/>
        <v>0.13300000000000001</v>
      </c>
      <c r="Q115" s="3">
        <v>-81.73578687173854</v>
      </c>
      <c r="R115" s="14">
        <f t="shared" si="18"/>
        <v>1700</v>
      </c>
      <c r="S115">
        <f t="shared" si="20"/>
        <v>1</v>
      </c>
      <c r="T115" t="str">
        <f t="shared" si="21"/>
        <v>1700:47</v>
      </c>
      <c r="U115" s="4">
        <f t="shared" si="19"/>
        <v>47</v>
      </c>
    </row>
    <row r="116" spans="1:21">
      <c r="A116">
        <v>115</v>
      </c>
      <c r="B116" t="s">
        <v>534</v>
      </c>
      <c r="C116">
        <v>57</v>
      </c>
      <c r="D116" t="s">
        <v>535</v>
      </c>
      <c r="E116" t="s">
        <v>536</v>
      </c>
      <c r="F116" t="s">
        <v>461</v>
      </c>
      <c r="G116" s="1">
        <v>6.3799999999999996E-2</v>
      </c>
      <c r="H116" t="s">
        <v>46</v>
      </c>
      <c r="I116" t="s">
        <v>251</v>
      </c>
      <c r="J116" t="s">
        <v>23</v>
      </c>
      <c r="K116" s="3">
        <f t="shared" si="13"/>
        <v>10.021321961620471</v>
      </c>
      <c r="L116" s="7">
        <f t="shared" si="14"/>
        <v>4.7</v>
      </c>
      <c r="M116" s="9">
        <f t="shared" si="15"/>
        <v>46.9</v>
      </c>
      <c r="N116" s="3">
        <v>10.021321961620471</v>
      </c>
      <c r="O116" s="3">
        <f t="shared" si="16"/>
        <v>-38.297872340425535</v>
      </c>
      <c r="P116" s="11">
        <f t="shared" si="17"/>
        <v>2.9</v>
      </c>
      <c r="Q116" s="3">
        <v>-38.297872340425535</v>
      </c>
      <c r="R116" s="14">
        <f t="shared" si="18"/>
        <v>2800</v>
      </c>
      <c r="S116">
        <f t="shared" si="20"/>
        <v>2</v>
      </c>
      <c r="T116" t="str">
        <f t="shared" si="21"/>
        <v>1400:23</v>
      </c>
      <c r="U116" s="4">
        <f t="shared" si="19"/>
        <v>46</v>
      </c>
    </row>
    <row r="117" spans="1:21">
      <c r="A117">
        <v>116</v>
      </c>
      <c r="B117" t="s">
        <v>537</v>
      </c>
      <c r="C117">
        <v>85</v>
      </c>
      <c r="D117" t="s">
        <v>432</v>
      </c>
      <c r="E117" t="s">
        <v>536</v>
      </c>
      <c r="F117" t="s">
        <v>58</v>
      </c>
      <c r="G117" s="1">
        <v>3.4700000000000002E-2</v>
      </c>
      <c r="H117" t="s">
        <v>214</v>
      </c>
      <c r="I117" t="s">
        <v>168</v>
      </c>
      <c r="J117" t="s">
        <v>23</v>
      </c>
      <c r="K117" s="3">
        <f t="shared" si="13"/>
        <v>4.2643923240938166</v>
      </c>
      <c r="L117" s="7">
        <f t="shared" si="14"/>
        <v>2</v>
      </c>
      <c r="M117" s="9">
        <f t="shared" si="15"/>
        <v>46.9</v>
      </c>
      <c r="N117" s="3">
        <v>4.2643923240938166</v>
      </c>
      <c r="O117" s="3">
        <f t="shared" si="16"/>
        <v>-19.999999999999996</v>
      </c>
      <c r="P117" s="11">
        <f t="shared" si="17"/>
        <v>1.6</v>
      </c>
      <c r="Q117" s="3">
        <v>-19.999999999999996</v>
      </c>
      <c r="R117" s="14">
        <f t="shared" si="18"/>
        <v>4200</v>
      </c>
      <c r="S117">
        <f t="shared" si="20"/>
        <v>2</v>
      </c>
      <c r="T117" t="str">
        <f t="shared" si="21"/>
        <v>2100:23</v>
      </c>
      <c r="U117" s="4">
        <f t="shared" si="19"/>
        <v>46</v>
      </c>
    </row>
    <row r="118" spans="1:21">
      <c r="A118">
        <v>117</v>
      </c>
      <c r="B118" t="s">
        <v>538</v>
      </c>
      <c r="C118">
        <v>84</v>
      </c>
      <c r="D118" t="s">
        <v>539</v>
      </c>
      <c r="E118" t="s">
        <v>540</v>
      </c>
      <c r="F118" t="s">
        <v>541</v>
      </c>
      <c r="G118" s="1">
        <v>6.3E-3</v>
      </c>
      <c r="H118" t="s">
        <v>542</v>
      </c>
      <c r="I118" t="s">
        <v>543</v>
      </c>
      <c r="J118" t="s">
        <v>23</v>
      </c>
      <c r="K118" s="3">
        <f t="shared" si="13"/>
        <v>1.3544871794871798</v>
      </c>
      <c r="L118" s="7">
        <f t="shared" si="14"/>
        <v>0.63390000000000002</v>
      </c>
      <c r="M118" s="9">
        <f t="shared" si="15"/>
        <v>46.8</v>
      </c>
      <c r="N118" s="3">
        <v>1.3544871794871798</v>
      </c>
      <c r="O118" s="3">
        <f t="shared" si="16"/>
        <v>-53.793973812904248</v>
      </c>
      <c r="P118" s="11">
        <f t="shared" si="17"/>
        <v>0.29289999999999999</v>
      </c>
      <c r="Q118" s="3">
        <v>-53.793973812904248</v>
      </c>
      <c r="R118" s="14">
        <f t="shared" si="18"/>
        <v>2700</v>
      </c>
      <c r="S118">
        <f t="shared" si="20"/>
        <v>2</v>
      </c>
      <c r="T118" t="str">
        <f t="shared" si="21"/>
        <v>1350:23</v>
      </c>
      <c r="U118" s="4">
        <f t="shared" si="19"/>
        <v>46</v>
      </c>
    </row>
    <row r="119" spans="1:21">
      <c r="A119">
        <v>118</v>
      </c>
      <c r="B119" t="s">
        <v>544</v>
      </c>
      <c r="C119">
        <v>85</v>
      </c>
      <c r="D119" t="s">
        <v>79</v>
      </c>
      <c r="E119" t="s">
        <v>545</v>
      </c>
      <c r="F119" t="s">
        <v>546</v>
      </c>
      <c r="G119" s="1">
        <v>2.9999999999999997E-4</v>
      </c>
      <c r="H119" t="s">
        <v>547</v>
      </c>
      <c r="I119" t="s">
        <v>121</v>
      </c>
      <c r="J119" t="s">
        <v>23</v>
      </c>
      <c r="K119" s="3">
        <f t="shared" si="13"/>
        <v>0.33763440860215055</v>
      </c>
      <c r="L119" s="7">
        <f t="shared" si="14"/>
        <v>0.157</v>
      </c>
      <c r="M119" s="9">
        <f t="shared" si="15"/>
        <v>46.5</v>
      </c>
      <c r="N119" s="3">
        <v>0.33763440860215055</v>
      </c>
      <c r="O119" s="3">
        <f t="shared" si="16"/>
        <v>-92.101910828025481</v>
      </c>
      <c r="P119" s="11">
        <f t="shared" si="17"/>
        <v>1.24E-2</v>
      </c>
      <c r="Q119" s="3">
        <v>-92.101910828025481</v>
      </c>
      <c r="R119" s="14">
        <f t="shared" si="18"/>
        <v>1600</v>
      </c>
      <c r="S119">
        <f t="shared" si="20"/>
        <v>2</v>
      </c>
      <c r="T119" t="str">
        <f t="shared" si="21"/>
        <v>800:23</v>
      </c>
      <c r="U119" s="4">
        <f t="shared" si="19"/>
        <v>46</v>
      </c>
    </row>
    <row r="120" spans="1:21">
      <c r="A120">
        <v>119</v>
      </c>
      <c r="B120" t="s">
        <v>548</v>
      </c>
      <c r="C120">
        <v>82</v>
      </c>
      <c r="D120" t="s">
        <v>549</v>
      </c>
      <c r="E120" t="s">
        <v>545</v>
      </c>
      <c r="F120" t="s">
        <v>461</v>
      </c>
      <c r="G120" s="1">
        <v>8.8099999999999998E-2</v>
      </c>
      <c r="H120" t="s">
        <v>378</v>
      </c>
      <c r="I120" t="s">
        <v>550</v>
      </c>
      <c r="J120" t="s">
        <v>23</v>
      </c>
      <c r="K120" s="3">
        <f t="shared" si="13"/>
        <v>10.10752688172043</v>
      </c>
      <c r="L120" s="7">
        <f t="shared" si="14"/>
        <v>4.7</v>
      </c>
      <c r="M120" s="9">
        <f t="shared" si="15"/>
        <v>46.5</v>
      </c>
      <c r="N120" s="3">
        <v>10.10752688172043</v>
      </c>
      <c r="O120" s="3">
        <f t="shared" si="16"/>
        <v>-14.893617021276597</v>
      </c>
      <c r="P120" s="11">
        <f t="shared" si="17"/>
        <v>4</v>
      </c>
      <c r="Q120" s="3">
        <v>-14.893617021276597</v>
      </c>
      <c r="R120" s="14">
        <f t="shared" si="18"/>
        <v>773.5</v>
      </c>
      <c r="S120">
        <f t="shared" si="20"/>
        <v>1</v>
      </c>
      <c r="T120" t="str">
        <f t="shared" si="21"/>
        <v>773.5:46</v>
      </c>
      <c r="U120" s="4">
        <f t="shared" si="19"/>
        <v>46</v>
      </c>
    </row>
    <row r="121" spans="1:21">
      <c r="A121">
        <v>120</v>
      </c>
      <c r="B121" t="s">
        <v>551</v>
      </c>
      <c r="C121">
        <v>85</v>
      </c>
      <c r="D121" t="s">
        <v>175</v>
      </c>
      <c r="E121" t="s">
        <v>545</v>
      </c>
      <c r="F121" t="s">
        <v>552</v>
      </c>
      <c r="G121" s="1">
        <v>5.7000000000000002E-3</v>
      </c>
      <c r="H121" t="s">
        <v>553</v>
      </c>
      <c r="I121" t="s">
        <v>83</v>
      </c>
      <c r="J121" t="s">
        <v>127</v>
      </c>
      <c r="K121" s="3">
        <f t="shared" si="13"/>
        <v>1.2464516129032259</v>
      </c>
      <c r="L121" s="7">
        <f t="shared" si="14"/>
        <v>0.5796</v>
      </c>
      <c r="M121" s="9">
        <f t="shared" si="15"/>
        <v>46.5</v>
      </c>
      <c r="N121" s="3">
        <v>1.2464516129032259</v>
      </c>
      <c r="O121" s="3">
        <f t="shared" si="16"/>
        <v>-55.244996549344386</v>
      </c>
      <c r="P121" s="11">
        <f t="shared" si="17"/>
        <v>0.25939999999999996</v>
      </c>
      <c r="Q121" s="3">
        <v>-55.244996549344386</v>
      </c>
      <c r="R121" s="14">
        <f t="shared" si="18"/>
        <v>3000</v>
      </c>
      <c r="S121">
        <f t="shared" si="20"/>
        <v>2</v>
      </c>
      <c r="T121" t="str">
        <f t="shared" si="21"/>
        <v>1500:23</v>
      </c>
      <c r="U121" s="4">
        <f t="shared" si="19"/>
        <v>46</v>
      </c>
    </row>
    <row r="122" spans="1:21">
      <c r="A122">
        <v>121</v>
      </c>
      <c r="B122" t="s">
        <v>554</v>
      </c>
      <c r="C122">
        <v>78</v>
      </c>
      <c r="D122" t="s">
        <v>96</v>
      </c>
      <c r="E122" t="s">
        <v>555</v>
      </c>
      <c r="F122" t="s">
        <v>423</v>
      </c>
      <c r="G122" s="1">
        <v>5.7099999999999998E-2</v>
      </c>
      <c r="H122" t="s">
        <v>556</v>
      </c>
      <c r="I122" t="s">
        <v>557</v>
      </c>
      <c r="J122" t="s">
        <v>23</v>
      </c>
      <c r="K122" s="3">
        <f t="shared" si="13"/>
        <v>6.4935064935064926</v>
      </c>
      <c r="L122" s="7">
        <f t="shared" si="14"/>
        <v>3</v>
      </c>
      <c r="M122" s="9">
        <f t="shared" si="15"/>
        <v>46.2</v>
      </c>
      <c r="N122" s="3">
        <v>6.4935064935064926</v>
      </c>
      <c r="O122" s="3">
        <f t="shared" si="16"/>
        <v>-13.33333333333333</v>
      </c>
      <c r="P122" s="11">
        <f t="shared" si="17"/>
        <v>2.6</v>
      </c>
      <c r="Q122" s="3">
        <v>-13.33333333333333</v>
      </c>
      <c r="R122" s="14">
        <f t="shared" si="18"/>
        <v>9600</v>
      </c>
      <c r="S122">
        <f t="shared" si="20"/>
        <v>2</v>
      </c>
      <c r="T122" t="str">
        <f t="shared" si="21"/>
        <v>4800:23</v>
      </c>
      <c r="U122" s="4">
        <f t="shared" si="19"/>
        <v>46</v>
      </c>
    </row>
    <row r="123" spans="1:21">
      <c r="A123">
        <v>122</v>
      </c>
      <c r="B123" t="s">
        <v>558</v>
      </c>
      <c r="C123">
        <v>82</v>
      </c>
      <c r="D123" t="s">
        <v>96</v>
      </c>
      <c r="E123" t="s">
        <v>559</v>
      </c>
      <c r="F123" t="s">
        <v>153</v>
      </c>
      <c r="G123" s="1">
        <v>6.8999999999999999E-3</v>
      </c>
      <c r="H123" t="s">
        <v>560</v>
      </c>
      <c r="I123" t="s">
        <v>255</v>
      </c>
      <c r="J123" t="s">
        <v>23</v>
      </c>
      <c r="K123" s="3">
        <f t="shared" si="13"/>
        <v>2.3965141612200438</v>
      </c>
      <c r="L123" s="7">
        <f t="shared" si="14"/>
        <v>1.1000000000000001</v>
      </c>
      <c r="M123" s="9">
        <f t="shared" si="15"/>
        <v>45.9</v>
      </c>
      <c r="N123" s="3">
        <v>2.3965141612200438</v>
      </c>
      <c r="O123" s="3">
        <f t="shared" si="16"/>
        <v>-71.681818181818187</v>
      </c>
      <c r="P123" s="11">
        <f t="shared" si="17"/>
        <v>0.3115</v>
      </c>
      <c r="Q123" s="3">
        <v>-71.681818181818187</v>
      </c>
      <c r="R123" s="14">
        <f t="shared" si="18"/>
        <v>3500</v>
      </c>
      <c r="S123">
        <f t="shared" si="20"/>
        <v>5</v>
      </c>
      <c r="T123" t="str">
        <f t="shared" si="21"/>
        <v>700:9</v>
      </c>
      <c r="U123" s="4">
        <f t="shared" si="19"/>
        <v>45</v>
      </c>
    </row>
    <row r="124" spans="1:21">
      <c r="A124">
        <v>123</v>
      </c>
      <c r="B124" t="s">
        <v>561</v>
      </c>
      <c r="C124">
        <v>80</v>
      </c>
      <c r="D124" t="s">
        <v>562</v>
      </c>
      <c r="E124" t="s">
        <v>559</v>
      </c>
      <c r="F124" t="s">
        <v>563</v>
      </c>
      <c r="G124" s="1">
        <v>0.01</v>
      </c>
      <c r="H124" t="s">
        <v>564</v>
      </c>
      <c r="I124" t="s">
        <v>565</v>
      </c>
      <c r="J124" t="s">
        <v>566</v>
      </c>
      <c r="K124" s="3">
        <f t="shared" si="13"/>
        <v>1.4215686274509804</v>
      </c>
      <c r="L124" s="7">
        <f t="shared" si="14"/>
        <v>0.65249999999999997</v>
      </c>
      <c r="M124" s="9">
        <f t="shared" si="15"/>
        <v>45.9</v>
      </c>
      <c r="N124" s="3">
        <v>1.4215686274509804</v>
      </c>
      <c r="O124" s="3">
        <f t="shared" si="16"/>
        <v>-30.222222222222211</v>
      </c>
      <c r="P124" s="11">
        <f t="shared" si="17"/>
        <v>0.45530000000000004</v>
      </c>
      <c r="Q124" s="3">
        <v>-30.222222222222211</v>
      </c>
      <c r="R124" s="14">
        <f t="shared" si="18"/>
        <v>18.3</v>
      </c>
      <c r="S124">
        <f t="shared" si="20"/>
        <v>9</v>
      </c>
      <c r="T124" t="str">
        <f t="shared" si="21"/>
        <v>2.03333333333333:5</v>
      </c>
      <c r="U124" s="4">
        <f t="shared" si="19"/>
        <v>45</v>
      </c>
    </row>
    <row r="125" spans="1:21">
      <c r="A125">
        <v>124</v>
      </c>
      <c r="B125" t="s">
        <v>567</v>
      </c>
      <c r="C125">
        <v>82</v>
      </c>
      <c r="D125" t="s">
        <v>568</v>
      </c>
      <c r="E125" t="s">
        <v>569</v>
      </c>
      <c r="F125" t="s">
        <v>570</v>
      </c>
      <c r="G125" s="1">
        <v>1.1999999999999999E-3</v>
      </c>
      <c r="H125" t="s">
        <v>571</v>
      </c>
      <c r="I125" t="s">
        <v>572</v>
      </c>
      <c r="J125" t="s">
        <v>23</v>
      </c>
      <c r="K125" s="3">
        <f t="shared" si="13"/>
        <v>0.41462882096069875</v>
      </c>
      <c r="L125" s="7">
        <f t="shared" si="14"/>
        <v>0.18990000000000001</v>
      </c>
      <c r="M125" s="9">
        <f t="shared" si="15"/>
        <v>45.8</v>
      </c>
      <c r="N125" s="3">
        <v>0.41462882096069875</v>
      </c>
      <c r="O125" s="3">
        <f t="shared" si="16"/>
        <v>-72.195892575039494</v>
      </c>
      <c r="P125" s="11">
        <f t="shared" si="17"/>
        <v>5.28E-2</v>
      </c>
      <c r="Q125" s="3">
        <v>-72.195892575039494</v>
      </c>
      <c r="R125" s="14">
        <f t="shared" si="18"/>
        <v>3200</v>
      </c>
      <c r="S125">
        <f t="shared" si="20"/>
        <v>5</v>
      </c>
      <c r="T125" t="str">
        <f t="shared" si="21"/>
        <v>640:9</v>
      </c>
      <c r="U125" s="4">
        <f t="shared" si="19"/>
        <v>45</v>
      </c>
    </row>
    <row r="126" spans="1:21">
      <c r="A126">
        <v>125</v>
      </c>
      <c r="B126" t="s">
        <v>573</v>
      </c>
      <c r="C126">
        <v>85</v>
      </c>
      <c r="D126" t="s">
        <v>31</v>
      </c>
      <c r="E126" t="s">
        <v>574</v>
      </c>
      <c r="F126" t="s">
        <v>575</v>
      </c>
      <c r="G126" s="1">
        <v>4.4000000000000003E-3</v>
      </c>
      <c r="H126" t="s">
        <v>576</v>
      </c>
      <c r="I126" t="s">
        <v>577</v>
      </c>
      <c r="J126" t="s">
        <v>23</v>
      </c>
      <c r="K126" s="3">
        <f t="shared" si="13"/>
        <v>0.94977973568281948</v>
      </c>
      <c r="L126" s="7">
        <f t="shared" si="14"/>
        <v>0.43119999999999997</v>
      </c>
      <c r="M126" s="9">
        <f t="shared" si="15"/>
        <v>45.4</v>
      </c>
      <c r="N126" s="3">
        <v>0.94977973568281948</v>
      </c>
      <c r="O126" s="3">
        <f t="shared" si="16"/>
        <v>-53.664192949907232</v>
      </c>
      <c r="P126" s="11">
        <f t="shared" si="17"/>
        <v>0.19980000000000001</v>
      </c>
      <c r="Q126" s="3">
        <v>-53.664192949907232</v>
      </c>
      <c r="R126" s="14">
        <f t="shared" si="18"/>
        <v>784</v>
      </c>
      <c r="S126">
        <f t="shared" si="20"/>
        <v>1</v>
      </c>
      <c r="T126" t="str">
        <f t="shared" si="21"/>
        <v>784:45</v>
      </c>
      <c r="U126" s="4">
        <f t="shared" si="19"/>
        <v>45</v>
      </c>
    </row>
    <row r="127" spans="1:21">
      <c r="A127">
        <v>126</v>
      </c>
      <c r="B127" t="s">
        <v>578</v>
      </c>
      <c r="C127">
        <v>84</v>
      </c>
      <c r="D127" t="s">
        <v>473</v>
      </c>
      <c r="E127" t="s">
        <v>574</v>
      </c>
      <c r="F127" t="s">
        <v>153</v>
      </c>
      <c r="G127" s="1">
        <v>2.76E-2</v>
      </c>
      <c r="H127" t="s">
        <v>163</v>
      </c>
      <c r="I127" t="s">
        <v>579</v>
      </c>
      <c r="J127" t="s">
        <v>23</v>
      </c>
      <c r="K127" s="3">
        <f t="shared" si="13"/>
        <v>2.4229074889867848</v>
      </c>
      <c r="L127" s="7">
        <f t="shared" si="14"/>
        <v>1.1000000000000001</v>
      </c>
      <c r="M127" s="9">
        <f t="shared" si="15"/>
        <v>45.4</v>
      </c>
      <c r="N127" s="3">
        <v>2.4229074889867848</v>
      </c>
      <c r="O127" s="3">
        <f t="shared" si="16"/>
        <v>9.0909090909090793</v>
      </c>
      <c r="P127" s="11">
        <f t="shared" si="17"/>
        <v>1.2</v>
      </c>
      <c r="Q127" s="3">
        <v>9.0909090909090793</v>
      </c>
      <c r="R127" s="14">
        <f t="shared" si="18"/>
        <v>1200</v>
      </c>
      <c r="S127">
        <f t="shared" si="20"/>
        <v>15</v>
      </c>
      <c r="T127" t="str">
        <f t="shared" si="21"/>
        <v>80:3</v>
      </c>
      <c r="U127" s="4">
        <f t="shared" si="19"/>
        <v>45</v>
      </c>
    </row>
    <row r="128" spans="1:21">
      <c r="A128">
        <v>127</v>
      </c>
      <c r="B128" t="s">
        <v>580</v>
      </c>
      <c r="C128">
        <v>86</v>
      </c>
      <c r="D128" t="s">
        <v>581</v>
      </c>
      <c r="E128" t="s">
        <v>582</v>
      </c>
      <c r="F128" t="s">
        <v>99</v>
      </c>
      <c r="G128" s="1">
        <v>2.6100000000000002E-2</v>
      </c>
      <c r="H128" t="s">
        <v>163</v>
      </c>
      <c r="I128" t="s">
        <v>583</v>
      </c>
      <c r="J128" t="s">
        <v>23</v>
      </c>
      <c r="K128" s="3">
        <f t="shared" si="13"/>
        <v>3.125</v>
      </c>
      <c r="L128" s="7">
        <f t="shared" si="14"/>
        <v>1.4</v>
      </c>
      <c r="M128" s="9">
        <f t="shared" si="15"/>
        <v>44.8</v>
      </c>
      <c r="N128" s="3">
        <v>3.125</v>
      </c>
      <c r="O128" s="3">
        <f t="shared" si="16"/>
        <v>-14.285714285714283</v>
      </c>
      <c r="P128" s="11">
        <f t="shared" si="17"/>
        <v>1.2</v>
      </c>
      <c r="Q128" s="3">
        <v>-14.285714285714283</v>
      </c>
      <c r="R128" s="14">
        <f t="shared" si="18"/>
        <v>925.7</v>
      </c>
      <c r="S128">
        <f t="shared" si="20"/>
        <v>1</v>
      </c>
      <c r="T128" t="str">
        <f t="shared" si="21"/>
        <v>925.7:44</v>
      </c>
      <c r="U128" s="4">
        <f t="shared" si="19"/>
        <v>44</v>
      </c>
    </row>
    <row r="129" spans="1:21">
      <c r="A129">
        <v>128</v>
      </c>
      <c r="B129" t="s">
        <v>584</v>
      </c>
      <c r="C129">
        <v>42</v>
      </c>
      <c r="D129" t="s">
        <v>236</v>
      </c>
      <c r="E129" t="s">
        <v>585</v>
      </c>
      <c r="F129" t="s">
        <v>586</v>
      </c>
      <c r="G129" s="1">
        <v>6.7000000000000002E-3</v>
      </c>
      <c r="H129" t="s">
        <v>587</v>
      </c>
      <c r="I129" t="s">
        <v>588</v>
      </c>
      <c r="J129" t="s">
        <v>127</v>
      </c>
      <c r="K129" s="3">
        <f t="shared" si="13"/>
        <v>1.2426966292134833</v>
      </c>
      <c r="L129" s="7">
        <f t="shared" si="14"/>
        <v>0.55300000000000005</v>
      </c>
      <c r="M129" s="9">
        <f t="shared" si="15"/>
        <v>44.5</v>
      </c>
      <c r="N129" s="3">
        <v>1.2426966292134833</v>
      </c>
      <c r="O129" s="3">
        <f t="shared" si="16"/>
        <v>-46.817359855334537</v>
      </c>
      <c r="P129" s="11">
        <f t="shared" si="17"/>
        <v>0.29410000000000003</v>
      </c>
      <c r="Q129" s="3">
        <v>-46.817359855334537</v>
      </c>
      <c r="R129" s="14">
        <f t="shared" si="18"/>
        <v>820.1</v>
      </c>
      <c r="S129">
        <f t="shared" si="20"/>
        <v>4</v>
      </c>
      <c r="T129" t="str">
        <f t="shared" si="21"/>
        <v>205.025:11</v>
      </c>
      <c r="U129" s="4">
        <f t="shared" si="19"/>
        <v>44</v>
      </c>
    </row>
    <row r="130" spans="1:21">
      <c r="A130">
        <v>129</v>
      </c>
      <c r="B130" t="s">
        <v>589</v>
      </c>
      <c r="C130">
        <v>85</v>
      </c>
      <c r="D130" t="s">
        <v>590</v>
      </c>
      <c r="E130" t="s">
        <v>591</v>
      </c>
      <c r="F130" t="s">
        <v>592</v>
      </c>
      <c r="G130" s="1">
        <v>9.5999999999999992E-3</v>
      </c>
      <c r="H130" t="s">
        <v>593</v>
      </c>
      <c r="I130" t="s">
        <v>594</v>
      </c>
      <c r="J130" t="s">
        <v>23</v>
      </c>
      <c r="K130" s="3">
        <f t="shared" si="13"/>
        <v>1.8140271493212667</v>
      </c>
      <c r="L130" s="7">
        <f t="shared" si="14"/>
        <v>0.80179999999999996</v>
      </c>
      <c r="M130" s="9">
        <f t="shared" si="15"/>
        <v>44.2</v>
      </c>
      <c r="N130" s="3">
        <v>1.8140271493212667</v>
      </c>
      <c r="O130" s="3">
        <f t="shared" si="16"/>
        <v>-48.266400598653028</v>
      </c>
      <c r="P130" s="11">
        <f t="shared" si="17"/>
        <v>0.4148</v>
      </c>
      <c r="Q130" s="3">
        <v>-48.266400598653028</v>
      </c>
      <c r="R130" s="14">
        <f t="shared" si="18"/>
        <v>782.5</v>
      </c>
      <c r="S130">
        <f t="shared" ref="S130:S161" si="22">GCD(U130,R130)</f>
        <v>2</v>
      </c>
      <c r="T130" t="str">
        <f t="shared" ref="T130:T161" si="23">R130/S130&amp;":"&amp;U130/S130</f>
        <v>391.25:22</v>
      </c>
      <c r="U130" s="4">
        <f t="shared" si="19"/>
        <v>44</v>
      </c>
    </row>
    <row r="131" spans="1:21">
      <c r="A131">
        <v>130</v>
      </c>
      <c r="B131" t="s">
        <v>595</v>
      </c>
      <c r="C131">
        <v>76</v>
      </c>
      <c r="D131" t="s">
        <v>596</v>
      </c>
      <c r="E131" t="s">
        <v>597</v>
      </c>
      <c r="F131" t="s">
        <v>598</v>
      </c>
      <c r="G131" s="1">
        <v>7.1000000000000004E-3</v>
      </c>
      <c r="H131" t="s">
        <v>599</v>
      </c>
      <c r="I131" t="s">
        <v>204</v>
      </c>
      <c r="J131" t="s">
        <v>127</v>
      </c>
      <c r="K131" s="3">
        <f t="shared" ref="K131:K194" si="24">(L131/M131)*100</f>
        <v>1.0822323462414578</v>
      </c>
      <c r="L131" s="7">
        <f t="shared" ref="L131:L194" si="25">IF(RIGHT(F131,1)="k",VALUE(LEFT(F131,LEN(F131)-1))/1000,IF(RIGHT(F131,1)="m",VALUE(LEFT(F131,LEN(F131)-1)),F131))</f>
        <v>0.47510000000000002</v>
      </c>
      <c r="M131" s="9">
        <f t="shared" ref="M131:M194" si="26">IF(RIGHT(E131,1)="k",VALUE(LEFT(E131,LEN(E131)-1))/1000,IF(RIGHT(E131,1)="m",VALUE(LEFT(E131,LEN(E131)-1)),E131))</f>
        <v>43.9</v>
      </c>
      <c r="N131" s="3">
        <v>1.0822323462414578</v>
      </c>
      <c r="O131" s="3">
        <f t="shared" ref="O131:O194" si="27">(P131-L131)/L131*100</f>
        <v>-36.034519048621341</v>
      </c>
      <c r="P131" s="11">
        <f t="shared" ref="P131:P194" si="28">IF(RIGHT(H131,1)="k",VALUE(LEFT(H131,LEN(H131)-1))/1000,IF(RIGHT(H131,1)="m",VALUE(LEFT(H131,LEN(H131)-1)),H131))</f>
        <v>0.3039</v>
      </c>
      <c r="Q131" s="3">
        <v>-36.034519048621341</v>
      </c>
      <c r="R131" s="14">
        <f t="shared" ref="R131:R194" si="29">IF(RIGHT(I131,1)="b",VALUE(LEFT(I131,LEN(I131)-1))*1000,IF(RIGHT(I131,1)="m",VALUE(LEFT(I131,LEN(I131)-1)),I131))</f>
        <v>2300</v>
      </c>
      <c r="S131">
        <f t="shared" si="22"/>
        <v>1</v>
      </c>
      <c r="T131" t="str">
        <f t="shared" si="23"/>
        <v>2300:43</v>
      </c>
      <c r="U131" s="4">
        <f t="shared" ref="U131:U194" si="30">FLOOR(M131,1)</f>
        <v>43</v>
      </c>
    </row>
    <row r="132" spans="1:21">
      <c r="A132">
        <v>131</v>
      </c>
      <c r="B132" t="s">
        <v>600</v>
      </c>
      <c r="C132">
        <v>84</v>
      </c>
      <c r="D132" t="s">
        <v>146</v>
      </c>
      <c r="E132" t="s">
        <v>601</v>
      </c>
      <c r="F132" t="s">
        <v>115</v>
      </c>
      <c r="G132" s="1">
        <v>2.18E-2</v>
      </c>
      <c r="H132" t="s">
        <v>602</v>
      </c>
      <c r="I132" t="s">
        <v>362</v>
      </c>
      <c r="J132" t="s">
        <v>256</v>
      </c>
      <c r="K132" s="3">
        <f t="shared" si="24"/>
        <v>2.9680365296803655</v>
      </c>
      <c r="L132" s="7">
        <f t="shared" si="25"/>
        <v>1.3</v>
      </c>
      <c r="M132" s="9">
        <f t="shared" si="26"/>
        <v>43.8</v>
      </c>
      <c r="N132" s="3">
        <v>2.9680365296803655</v>
      </c>
      <c r="O132" s="3">
        <f t="shared" si="27"/>
        <v>-27.361538461538469</v>
      </c>
      <c r="P132" s="11">
        <f t="shared" si="28"/>
        <v>0.94429999999999992</v>
      </c>
      <c r="Q132" s="3">
        <v>-27.361538461538469</v>
      </c>
      <c r="R132" s="14">
        <f t="shared" si="29"/>
        <v>2200</v>
      </c>
      <c r="S132">
        <f t="shared" si="22"/>
        <v>1</v>
      </c>
      <c r="T132" t="str">
        <f t="shared" si="23"/>
        <v>2200:43</v>
      </c>
      <c r="U132" s="4">
        <f t="shared" si="30"/>
        <v>43</v>
      </c>
    </row>
    <row r="133" spans="1:21">
      <c r="A133">
        <v>132</v>
      </c>
      <c r="B133" t="s">
        <v>603</v>
      </c>
      <c r="C133">
        <v>84</v>
      </c>
      <c r="D133" t="s">
        <v>240</v>
      </c>
      <c r="E133" t="s">
        <v>601</v>
      </c>
      <c r="F133" t="s">
        <v>153</v>
      </c>
      <c r="G133" s="1">
        <v>1.4800000000000001E-2</v>
      </c>
      <c r="H133" t="s">
        <v>604</v>
      </c>
      <c r="I133" t="s">
        <v>231</v>
      </c>
      <c r="J133" t="s">
        <v>256</v>
      </c>
      <c r="K133" s="3">
        <f t="shared" si="24"/>
        <v>2.5114155251141557</v>
      </c>
      <c r="L133" s="7">
        <f t="shared" si="25"/>
        <v>1.1000000000000001</v>
      </c>
      <c r="M133" s="9">
        <f t="shared" si="26"/>
        <v>43.8</v>
      </c>
      <c r="N133" s="3">
        <v>2.5114155251141557</v>
      </c>
      <c r="O133" s="3">
        <f t="shared" si="27"/>
        <v>-41.77272727272728</v>
      </c>
      <c r="P133" s="11">
        <f t="shared" si="28"/>
        <v>0.64049999999999996</v>
      </c>
      <c r="Q133" s="3">
        <v>-41.77272727272728</v>
      </c>
      <c r="R133" s="14">
        <f t="shared" si="29"/>
        <v>2000</v>
      </c>
      <c r="S133">
        <f t="shared" si="22"/>
        <v>1</v>
      </c>
      <c r="T133" t="str">
        <f t="shared" si="23"/>
        <v>2000:43</v>
      </c>
      <c r="U133" s="4">
        <f t="shared" si="30"/>
        <v>43</v>
      </c>
    </row>
    <row r="134" spans="1:21">
      <c r="A134">
        <v>133</v>
      </c>
      <c r="B134" t="s">
        <v>605</v>
      </c>
      <c r="C134">
        <v>85</v>
      </c>
      <c r="D134" t="s">
        <v>606</v>
      </c>
      <c r="E134" t="s">
        <v>607</v>
      </c>
      <c r="F134" t="s">
        <v>214</v>
      </c>
      <c r="G134" s="1">
        <v>3.8199999999999998E-2</v>
      </c>
      <c r="H134" t="s">
        <v>214</v>
      </c>
      <c r="I134" t="s">
        <v>608</v>
      </c>
      <c r="J134" t="s">
        <v>609</v>
      </c>
      <c r="K134" s="3">
        <f t="shared" si="24"/>
        <v>3.6613272311212817</v>
      </c>
      <c r="L134" s="7">
        <f t="shared" si="25"/>
        <v>1.6</v>
      </c>
      <c r="M134" s="9">
        <f t="shared" si="26"/>
        <v>43.7</v>
      </c>
      <c r="N134" s="3">
        <v>3.6613272311212817</v>
      </c>
      <c r="O134" s="3">
        <f t="shared" si="27"/>
        <v>0</v>
      </c>
      <c r="P134" s="11">
        <f t="shared" si="28"/>
        <v>1.6</v>
      </c>
      <c r="Q134" s="3">
        <v>0</v>
      </c>
      <c r="R134" s="14">
        <f t="shared" si="29"/>
        <v>949.9</v>
      </c>
      <c r="S134">
        <f t="shared" si="22"/>
        <v>1</v>
      </c>
      <c r="T134" t="str">
        <f t="shared" si="23"/>
        <v>949.9:43</v>
      </c>
      <c r="U134" s="4">
        <f t="shared" si="30"/>
        <v>43</v>
      </c>
    </row>
    <row r="135" spans="1:21">
      <c r="A135">
        <v>134</v>
      </c>
      <c r="B135" t="s">
        <v>610</v>
      </c>
      <c r="C135">
        <v>81</v>
      </c>
      <c r="D135" t="s">
        <v>79</v>
      </c>
      <c r="E135" t="s">
        <v>611</v>
      </c>
      <c r="F135" t="s">
        <v>612</v>
      </c>
      <c r="G135" s="1">
        <v>3.3E-3</v>
      </c>
      <c r="H135" t="s">
        <v>613</v>
      </c>
      <c r="I135" t="s">
        <v>333</v>
      </c>
      <c r="J135" t="s">
        <v>337</v>
      </c>
      <c r="K135" s="3">
        <f t="shared" si="24"/>
        <v>0.87926267281106008</v>
      </c>
      <c r="L135" s="7">
        <f t="shared" si="25"/>
        <v>0.38160000000000005</v>
      </c>
      <c r="M135" s="9">
        <f t="shared" si="26"/>
        <v>43.4</v>
      </c>
      <c r="N135" s="3">
        <v>0.87926267281106008</v>
      </c>
      <c r="O135" s="3">
        <f t="shared" si="27"/>
        <v>-63.4958071278826</v>
      </c>
      <c r="P135" s="11">
        <f t="shared" si="28"/>
        <v>0.13930000000000001</v>
      </c>
      <c r="Q135" s="3">
        <v>-63.4958071278826</v>
      </c>
      <c r="R135" s="14">
        <f t="shared" si="29"/>
        <v>3800</v>
      </c>
      <c r="S135">
        <f t="shared" si="22"/>
        <v>1</v>
      </c>
      <c r="T135" t="str">
        <f t="shared" si="23"/>
        <v>3800:43</v>
      </c>
      <c r="U135" s="4">
        <f t="shared" si="30"/>
        <v>43</v>
      </c>
    </row>
    <row r="136" spans="1:21">
      <c r="A136">
        <v>135</v>
      </c>
      <c r="B136" t="s">
        <v>614</v>
      </c>
      <c r="C136">
        <v>85</v>
      </c>
      <c r="D136" t="s">
        <v>495</v>
      </c>
      <c r="E136" t="s">
        <v>615</v>
      </c>
      <c r="F136" t="s">
        <v>616</v>
      </c>
      <c r="G136" s="1">
        <v>2.0000000000000001E-4</v>
      </c>
      <c r="H136" t="s">
        <v>617</v>
      </c>
      <c r="I136" t="s">
        <v>618</v>
      </c>
      <c r="J136" t="s">
        <v>16</v>
      </c>
      <c r="K136" s="3">
        <f t="shared" si="24"/>
        <v>0.15069444444444441</v>
      </c>
      <c r="L136" s="7">
        <f t="shared" si="25"/>
        <v>6.5099999999999991E-2</v>
      </c>
      <c r="M136" s="9">
        <f t="shared" si="26"/>
        <v>43.2</v>
      </c>
      <c r="N136" s="3">
        <v>0.15069444444444441</v>
      </c>
      <c r="O136" s="3">
        <f t="shared" si="27"/>
        <v>-88.172043010752688</v>
      </c>
      <c r="P136" s="11">
        <f t="shared" si="28"/>
        <v>7.7000000000000002E-3</v>
      </c>
      <c r="Q136" s="3">
        <v>-88.172043010752688</v>
      </c>
      <c r="R136" s="14">
        <f t="shared" si="29"/>
        <v>580.70000000000005</v>
      </c>
      <c r="S136">
        <f t="shared" si="22"/>
        <v>1</v>
      </c>
      <c r="T136" t="str">
        <f t="shared" si="23"/>
        <v>580.7:43</v>
      </c>
      <c r="U136" s="4">
        <f t="shared" si="30"/>
        <v>43</v>
      </c>
    </row>
    <row r="137" spans="1:21">
      <c r="A137">
        <v>136</v>
      </c>
      <c r="B137" t="s">
        <v>619</v>
      </c>
      <c r="C137">
        <v>84</v>
      </c>
      <c r="D137" t="s">
        <v>620</v>
      </c>
      <c r="E137" t="s">
        <v>621</v>
      </c>
      <c r="F137" t="s">
        <v>622</v>
      </c>
      <c r="G137" s="1">
        <v>1.0500000000000001E-2</v>
      </c>
      <c r="H137" t="s">
        <v>623</v>
      </c>
      <c r="I137" t="s">
        <v>340</v>
      </c>
      <c r="J137" t="s">
        <v>23</v>
      </c>
      <c r="K137" s="3">
        <f t="shared" si="24"/>
        <v>2.2498839907192574</v>
      </c>
      <c r="L137" s="7">
        <f t="shared" si="25"/>
        <v>0.96970000000000001</v>
      </c>
      <c r="M137" s="9">
        <f t="shared" si="26"/>
        <v>43.1</v>
      </c>
      <c r="N137" s="3">
        <v>2.2498839907192574</v>
      </c>
      <c r="O137" s="3">
        <f t="shared" si="27"/>
        <v>-54.192018149943287</v>
      </c>
      <c r="P137" s="11">
        <f t="shared" si="28"/>
        <v>0.44419999999999998</v>
      </c>
      <c r="Q137" s="3">
        <v>-54.192018149943287</v>
      </c>
      <c r="R137" s="14">
        <f t="shared" si="29"/>
        <v>2900</v>
      </c>
      <c r="S137">
        <f t="shared" si="22"/>
        <v>1</v>
      </c>
      <c r="T137" t="str">
        <f t="shared" si="23"/>
        <v>2900:43</v>
      </c>
      <c r="U137" s="4">
        <f t="shared" si="30"/>
        <v>43</v>
      </c>
    </row>
    <row r="138" spans="1:21">
      <c r="A138">
        <v>137</v>
      </c>
      <c r="B138" t="s">
        <v>624</v>
      </c>
      <c r="C138">
        <v>86</v>
      </c>
      <c r="D138" t="s">
        <v>112</v>
      </c>
      <c r="E138" t="s">
        <v>625</v>
      </c>
      <c r="F138" t="s">
        <v>626</v>
      </c>
      <c r="G138" s="1">
        <v>4.3E-3</v>
      </c>
      <c r="H138" t="s">
        <v>627</v>
      </c>
      <c r="I138" t="s">
        <v>255</v>
      </c>
      <c r="J138" t="s">
        <v>23</v>
      </c>
      <c r="K138" s="3">
        <f t="shared" si="24"/>
        <v>1.8419580419580421</v>
      </c>
      <c r="L138" s="7">
        <f t="shared" si="25"/>
        <v>0.79020000000000001</v>
      </c>
      <c r="M138" s="9">
        <f t="shared" si="26"/>
        <v>42.9</v>
      </c>
      <c r="N138" s="3">
        <v>1.8419580419580421</v>
      </c>
      <c r="O138" s="3">
        <f t="shared" si="27"/>
        <v>-77.094406479372296</v>
      </c>
      <c r="P138" s="11">
        <f t="shared" si="28"/>
        <v>0.18099999999999999</v>
      </c>
      <c r="Q138" s="3">
        <v>-77.094406479372296</v>
      </c>
      <c r="R138" s="14">
        <f t="shared" si="29"/>
        <v>3500</v>
      </c>
      <c r="S138">
        <f t="shared" si="22"/>
        <v>14</v>
      </c>
      <c r="T138" t="str">
        <f t="shared" si="23"/>
        <v>250:3</v>
      </c>
      <c r="U138" s="4">
        <f t="shared" si="30"/>
        <v>42</v>
      </c>
    </row>
    <row r="139" spans="1:21">
      <c r="A139">
        <v>138</v>
      </c>
      <c r="B139" t="s">
        <v>628</v>
      </c>
      <c r="C139">
        <v>83</v>
      </c>
      <c r="D139" t="s">
        <v>85</v>
      </c>
      <c r="E139" t="s">
        <v>629</v>
      </c>
      <c r="F139" t="s">
        <v>630</v>
      </c>
      <c r="G139" s="1">
        <v>1.49E-2</v>
      </c>
      <c r="H139" t="s">
        <v>631</v>
      </c>
      <c r="I139" t="s">
        <v>632</v>
      </c>
      <c r="J139" t="s">
        <v>256</v>
      </c>
      <c r="K139" s="3">
        <f t="shared" si="24"/>
        <v>1.7450236966824642</v>
      </c>
      <c r="L139" s="7">
        <f t="shared" si="25"/>
        <v>0.73639999999999994</v>
      </c>
      <c r="M139" s="9">
        <f t="shared" si="26"/>
        <v>42.2</v>
      </c>
      <c r="N139" s="3">
        <v>1.7450236966824642</v>
      </c>
      <c r="O139" s="3">
        <f t="shared" si="27"/>
        <v>-15.195545898967938</v>
      </c>
      <c r="P139" s="11">
        <f t="shared" si="28"/>
        <v>0.62450000000000006</v>
      </c>
      <c r="Q139" s="3">
        <v>-15.195545898967938</v>
      </c>
      <c r="R139" s="14">
        <f t="shared" si="29"/>
        <v>710.7</v>
      </c>
      <c r="S139">
        <f t="shared" si="22"/>
        <v>2</v>
      </c>
      <c r="T139" t="str">
        <f t="shared" si="23"/>
        <v>355.35:21</v>
      </c>
      <c r="U139" s="4">
        <f t="shared" si="30"/>
        <v>42</v>
      </c>
    </row>
    <row r="140" spans="1:21">
      <c r="A140">
        <v>139</v>
      </c>
      <c r="B140" t="s">
        <v>633</v>
      </c>
      <c r="C140">
        <v>83</v>
      </c>
      <c r="D140" t="s">
        <v>634</v>
      </c>
      <c r="E140" t="s">
        <v>635</v>
      </c>
      <c r="F140" t="s">
        <v>51</v>
      </c>
      <c r="G140" s="1">
        <v>0.13089999999999999</v>
      </c>
      <c r="H140" t="s">
        <v>283</v>
      </c>
      <c r="I140" t="s">
        <v>636</v>
      </c>
      <c r="J140" t="s">
        <v>896</v>
      </c>
      <c r="K140" s="3">
        <f t="shared" si="24"/>
        <v>8.7885985748218527</v>
      </c>
      <c r="L140" s="7">
        <f t="shared" si="25"/>
        <v>3.7</v>
      </c>
      <c r="M140" s="9">
        <f t="shared" si="26"/>
        <v>42.1</v>
      </c>
      <c r="N140" s="3">
        <v>8.7885985748218527</v>
      </c>
      <c r="O140" s="3">
        <f t="shared" si="27"/>
        <v>45.945945945945951</v>
      </c>
      <c r="P140" s="11">
        <f t="shared" si="28"/>
        <v>5.4</v>
      </c>
      <c r="Q140" s="3">
        <v>45.945945945945951</v>
      </c>
      <c r="R140" s="14">
        <f t="shared" si="29"/>
        <v>67.5</v>
      </c>
      <c r="S140">
        <f t="shared" si="22"/>
        <v>1</v>
      </c>
      <c r="T140" t="str">
        <f t="shared" si="23"/>
        <v>67.5:42</v>
      </c>
      <c r="U140" s="4">
        <f t="shared" si="30"/>
        <v>42</v>
      </c>
    </row>
    <row r="141" spans="1:21">
      <c r="A141">
        <v>140</v>
      </c>
      <c r="B141" t="s">
        <v>637</v>
      </c>
      <c r="C141">
        <v>80</v>
      </c>
      <c r="D141" t="s">
        <v>620</v>
      </c>
      <c r="E141" t="s">
        <v>635</v>
      </c>
      <c r="F141" t="s">
        <v>638</v>
      </c>
      <c r="G141" s="1">
        <v>5.4999999999999997E-3</v>
      </c>
      <c r="H141" t="s">
        <v>639</v>
      </c>
      <c r="I141" t="s">
        <v>121</v>
      </c>
      <c r="J141" t="s">
        <v>306</v>
      </c>
      <c r="K141" s="3">
        <f t="shared" si="24"/>
        <v>1.2187648456057008</v>
      </c>
      <c r="L141" s="7">
        <f t="shared" si="25"/>
        <v>0.5131</v>
      </c>
      <c r="M141" s="9">
        <f t="shared" si="26"/>
        <v>42.1</v>
      </c>
      <c r="N141" s="3">
        <v>1.2187648456057008</v>
      </c>
      <c r="O141" s="3">
        <f t="shared" si="27"/>
        <v>-56.792048333658151</v>
      </c>
      <c r="P141" s="11">
        <f t="shared" si="28"/>
        <v>0.22169999999999998</v>
      </c>
      <c r="Q141" s="3">
        <v>-56.792048333658151</v>
      </c>
      <c r="R141" s="14">
        <f t="shared" si="29"/>
        <v>1600</v>
      </c>
      <c r="S141">
        <f t="shared" si="22"/>
        <v>2</v>
      </c>
      <c r="T141" t="str">
        <f t="shared" si="23"/>
        <v>800:21</v>
      </c>
      <c r="U141" s="4">
        <f t="shared" si="30"/>
        <v>42</v>
      </c>
    </row>
    <row r="142" spans="1:21">
      <c r="A142">
        <v>141</v>
      </c>
      <c r="B142" t="s">
        <v>640</v>
      </c>
      <c r="C142">
        <v>83</v>
      </c>
      <c r="D142" t="s">
        <v>562</v>
      </c>
      <c r="E142" t="s">
        <v>641</v>
      </c>
      <c r="F142" t="s">
        <v>642</v>
      </c>
      <c r="G142" s="1">
        <v>0.2641</v>
      </c>
      <c r="H142" t="s">
        <v>643</v>
      </c>
      <c r="I142" t="s">
        <v>644</v>
      </c>
      <c r="J142" t="s">
        <v>892</v>
      </c>
      <c r="K142" s="3">
        <f t="shared" si="24"/>
        <v>33.890214797136039</v>
      </c>
      <c r="L142" s="7">
        <f t="shared" si="25"/>
        <v>14.2</v>
      </c>
      <c r="M142" s="9">
        <f t="shared" si="26"/>
        <v>41.9</v>
      </c>
      <c r="N142" s="3">
        <v>33.890214797136039</v>
      </c>
      <c r="O142" s="3">
        <f t="shared" si="27"/>
        <v>-22.535211267605629</v>
      </c>
      <c r="P142" s="11">
        <f t="shared" si="28"/>
        <v>11</v>
      </c>
      <c r="Q142" s="3">
        <v>-22.535211267605629</v>
      </c>
      <c r="R142" s="14">
        <f t="shared" si="29"/>
        <v>368.1</v>
      </c>
      <c r="S142">
        <f t="shared" si="22"/>
        <v>1</v>
      </c>
      <c r="T142" t="str">
        <f t="shared" si="23"/>
        <v>368.1:41</v>
      </c>
      <c r="U142" s="4">
        <f t="shared" si="30"/>
        <v>41</v>
      </c>
    </row>
    <row r="143" spans="1:21">
      <c r="A143">
        <v>142</v>
      </c>
      <c r="B143" t="s">
        <v>645</v>
      </c>
      <c r="C143">
        <v>73</v>
      </c>
      <c r="D143" t="s">
        <v>102</v>
      </c>
      <c r="E143" t="s">
        <v>646</v>
      </c>
      <c r="F143" t="s">
        <v>109</v>
      </c>
      <c r="G143" s="1">
        <v>1.9800000000000002E-2</v>
      </c>
      <c r="H143" t="s">
        <v>647</v>
      </c>
      <c r="I143" t="s">
        <v>132</v>
      </c>
      <c r="J143" t="s">
        <v>127</v>
      </c>
      <c r="K143" s="3">
        <f t="shared" si="24"/>
        <v>2.3923444976076556</v>
      </c>
      <c r="L143" s="7">
        <f t="shared" si="25"/>
        <v>1</v>
      </c>
      <c r="M143" s="9">
        <f t="shared" si="26"/>
        <v>41.8</v>
      </c>
      <c r="N143" s="3">
        <v>2.3923444976076556</v>
      </c>
      <c r="O143" s="3">
        <f t="shared" si="27"/>
        <v>-18.14</v>
      </c>
      <c r="P143" s="11">
        <f t="shared" si="28"/>
        <v>0.81859999999999999</v>
      </c>
      <c r="Q143" s="3">
        <v>-18.14</v>
      </c>
      <c r="R143" s="14">
        <f t="shared" si="29"/>
        <v>1500</v>
      </c>
      <c r="S143">
        <f t="shared" si="22"/>
        <v>1</v>
      </c>
      <c r="T143" t="str">
        <f t="shared" si="23"/>
        <v>1500:41</v>
      </c>
      <c r="U143" s="4">
        <f t="shared" si="30"/>
        <v>41</v>
      </c>
    </row>
    <row r="144" spans="1:21">
      <c r="A144">
        <v>143</v>
      </c>
      <c r="B144" t="s">
        <v>648</v>
      </c>
      <c r="C144">
        <v>83</v>
      </c>
      <c r="D144" t="s">
        <v>201</v>
      </c>
      <c r="E144" t="s">
        <v>649</v>
      </c>
      <c r="F144" t="s">
        <v>99</v>
      </c>
      <c r="G144" s="1">
        <v>1.7600000000000001E-2</v>
      </c>
      <c r="H144" t="s">
        <v>650</v>
      </c>
      <c r="I144" t="s">
        <v>204</v>
      </c>
      <c r="J144" t="s">
        <v>651</v>
      </c>
      <c r="K144" s="3">
        <f t="shared" si="24"/>
        <v>3.3653846153846154</v>
      </c>
      <c r="L144" s="7">
        <f t="shared" si="25"/>
        <v>1.4</v>
      </c>
      <c r="M144" s="9">
        <f t="shared" si="26"/>
        <v>41.6</v>
      </c>
      <c r="N144" s="3">
        <v>3.3653846153846154</v>
      </c>
      <c r="O144" s="3">
        <f t="shared" si="27"/>
        <v>-48.035714285714285</v>
      </c>
      <c r="P144" s="11">
        <f t="shared" si="28"/>
        <v>0.72750000000000004</v>
      </c>
      <c r="Q144" s="3">
        <v>-48.035714285714285</v>
      </c>
      <c r="R144" s="14">
        <f t="shared" si="29"/>
        <v>2300</v>
      </c>
      <c r="S144">
        <f t="shared" si="22"/>
        <v>1</v>
      </c>
      <c r="T144" t="str">
        <f t="shared" si="23"/>
        <v>2300:41</v>
      </c>
      <c r="U144" s="4">
        <f t="shared" si="30"/>
        <v>41</v>
      </c>
    </row>
    <row r="145" spans="1:21">
      <c r="A145">
        <v>144</v>
      </c>
      <c r="B145" t="s">
        <v>652</v>
      </c>
      <c r="C145">
        <v>83</v>
      </c>
      <c r="D145" t="s">
        <v>653</v>
      </c>
      <c r="E145" t="s">
        <v>654</v>
      </c>
      <c r="F145" t="s">
        <v>153</v>
      </c>
      <c r="G145" s="1">
        <v>3.9699999999999999E-2</v>
      </c>
      <c r="H145" t="s">
        <v>214</v>
      </c>
      <c r="I145" t="s">
        <v>655</v>
      </c>
      <c r="J145" t="s">
        <v>71</v>
      </c>
      <c r="K145" s="3">
        <f t="shared" si="24"/>
        <v>2.6506024096385543</v>
      </c>
      <c r="L145" s="7">
        <f t="shared" si="25"/>
        <v>1.1000000000000001</v>
      </c>
      <c r="M145" s="9">
        <f t="shared" si="26"/>
        <v>41.5</v>
      </c>
      <c r="N145" s="3">
        <v>2.6506024096385543</v>
      </c>
      <c r="O145" s="3">
        <f t="shared" si="27"/>
        <v>45.454545454545453</v>
      </c>
      <c r="P145" s="11">
        <f t="shared" si="28"/>
        <v>1.6</v>
      </c>
      <c r="Q145" s="3">
        <v>45.454545454545453</v>
      </c>
      <c r="R145" s="14">
        <f t="shared" si="29"/>
        <v>767</v>
      </c>
      <c r="S145">
        <f t="shared" si="22"/>
        <v>1</v>
      </c>
      <c r="T145" t="str">
        <f t="shared" si="23"/>
        <v>767:41</v>
      </c>
      <c r="U145" s="4">
        <f t="shared" si="30"/>
        <v>41</v>
      </c>
    </row>
    <row r="146" spans="1:21">
      <c r="A146">
        <v>145</v>
      </c>
      <c r="B146" t="s">
        <v>656</v>
      </c>
      <c r="C146">
        <v>85</v>
      </c>
      <c r="D146" t="s">
        <v>657</v>
      </c>
      <c r="E146" t="s">
        <v>654</v>
      </c>
      <c r="F146" t="s">
        <v>658</v>
      </c>
      <c r="G146" s="1">
        <v>1.6000000000000001E-3</v>
      </c>
      <c r="H146" t="s">
        <v>659</v>
      </c>
      <c r="I146" t="s">
        <v>660</v>
      </c>
      <c r="J146" t="s">
        <v>349</v>
      </c>
      <c r="K146" s="3">
        <f t="shared" si="24"/>
        <v>0.21397590361445784</v>
      </c>
      <c r="L146" s="7">
        <f t="shared" si="25"/>
        <v>8.8800000000000004E-2</v>
      </c>
      <c r="M146" s="9">
        <f t="shared" si="26"/>
        <v>41.5</v>
      </c>
      <c r="N146" s="3">
        <v>0.21397590361445784</v>
      </c>
      <c r="O146" s="3">
        <f t="shared" si="27"/>
        <v>-28.378378378378379</v>
      </c>
      <c r="P146" s="11">
        <f t="shared" si="28"/>
        <v>6.3600000000000004E-2</v>
      </c>
      <c r="Q146" s="3">
        <v>-28.378378378378379</v>
      </c>
      <c r="R146" s="14">
        <f t="shared" si="29"/>
        <v>863</v>
      </c>
      <c r="S146">
        <f t="shared" si="22"/>
        <v>1</v>
      </c>
      <c r="T146" t="str">
        <f t="shared" si="23"/>
        <v>863:41</v>
      </c>
      <c r="U146" s="4">
        <f t="shared" si="30"/>
        <v>41</v>
      </c>
    </row>
    <row r="147" spans="1:21">
      <c r="A147">
        <v>146</v>
      </c>
      <c r="B147" t="s">
        <v>661</v>
      </c>
      <c r="C147">
        <v>85</v>
      </c>
      <c r="D147" t="s">
        <v>31</v>
      </c>
      <c r="E147" t="s">
        <v>662</v>
      </c>
      <c r="F147" t="s">
        <v>109</v>
      </c>
      <c r="G147" s="1">
        <v>7.6E-3</v>
      </c>
      <c r="H147" t="s">
        <v>663</v>
      </c>
      <c r="I147" t="s">
        <v>385</v>
      </c>
      <c r="J147" t="s">
        <v>664</v>
      </c>
      <c r="K147" s="3">
        <f t="shared" si="24"/>
        <v>2.4509803921568629</v>
      </c>
      <c r="L147" s="7">
        <f t="shared" si="25"/>
        <v>1</v>
      </c>
      <c r="M147" s="9">
        <f t="shared" si="26"/>
        <v>40.799999999999997</v>
      </c>
      <c r="N147" s="3">
        <v>2.4509803921568629</v>
      </c>
      <c r="O147" s="3">
        <f t="shared" si="27"/>
        <v>-70.069999999999993</v>
      </c>
      <c r="P147" s="11">
        <f t="shared" si="28"/>
        <v>0.29930000000000001</v>
      </c>
      <c r="Q147" s="3">
        <v>-70.069999999999993</v>
      </c>
      <c r="R147" s="14">
        <f t="shared" si="29"/>
        <v>1800</v>
      </c>
      <c r="S147">
        <f t="shared" si="22"/>
        <v>40</v>
      </c>
      <c r="T147" t="str">
        <f t="shared" si="23"/>
        <v>45:1</v>
      </c>
      <c r="U147" s="4">
        <f t="shared" si="30"/>
        <v>40</v>
      </c>
    </row>
    <row r="148" spans="1:21">
      <c r="A148">
        <v>147</v>
      </c>
      <c r="B148" t="s">
        <v>665</v>
      </c>
      <c r="C148">
        <v>81</v>
      </c>
      <c r="D148" t="s">
        <v>432</v>
      </c>
      <c r="E148" t="s">
        <v>666</v>
      </c>
      <c r="F148" t="s">
        <v>667</v>
      </c>
      <c r="G148" s="1">
        <v>1E-4</v>
      </c>
      <c r="H148">
        <v>0</v>
      </c>
      <c r="I148" t="s">
        <v>579</v>
      </c>
      <c r="J148" t="s">
        <v>127</v>
      </c>
      <c r="K148" s="3">
        <f t="shared" si="24"/>
        <v>1.4407862407862408</v>
      </c>
      <c r="L148" s="7">
        <f t="shared" si="25"/>
        <v>0.58640000000000003</v>
      </c>
      <c r="M148" s="9">
        <f t="shared" si="26"/>
        <v>40.700000000000003</v>
      </c>
      <c r="N148" s="3">
        <v>1.4407862407862408</v>
      </c>
      <c r="O148" s="3">
        <f t="shared" si="27"/>
        <v>-100</v>
      </c>
      <c r="P148" s="11">
        <f t="shared" si="28"/>
        <v>0</v>
      </c>
      <c r="Q148" s="3">
        <v>-100</v>
      </c>
      <c r="R148" s="14">
        <f t="shared" si="29"/>
        <v>1200</v>
      </c>
      <c r="S148">
        <f t="shared" si="22"/>
        <v>40</v>
      </c>
      <c r="T148" t="str">
        <f t="shared" si="23"/>
        <v>30:1</v>
      </c>
      <c r="U148" s="4">
        <f t="shared" si="30"/>
        <v>40</v>
      </c>
    </row>
    <row r="149" spans="1:21">
      <c r="A149">
        <v>148</v>
      </c>
      <c r="B149" t="s">
        <v>668</v>
      </c>
      <c r="C149">
        <v>85</v>
      </c>
      <c r="D149" t="s">
        <v>669</v>
      </c>
      <c r="E149" t="s">
        <v>666</v>
      </c>
      <c r="F149" t="s">
        <v>353</v>
      </c>
      <c r="G149" s="1">
        <v>1.8800000000000001E-2</v>
      </c>
      <c r="H149" t="s">
        <v>670</v>
      </c>
      <c r="I149" t="s">
        <v>671</v>
      </c>
      <c r="J149" t="s">
        <v>23</v>
      </c>
      <c r="K149" s="3">
        <f t="shared" si="24"/>
        <v>11.302211302211299</v>
      </c>
      <c r="L149" s="7">
        <f t="shared" si="25"/>
        <v>4.5999999999999996</v>
      </c>
      <c r="M149" s="9">
        <f t="shared" si="26"/>
        <v>40.700000000000003</v>
      </c>
      <c r="N149" s="3">
        <v>11.302211302211299</v>
      </c>
      <c r="O149" s="3">
        <f t="shared" si="27"/>
        <v>-84.108695652173921</v>
      </c>
      <c r="P149" s="11">
        <f t="shared" si="28"/>
        <v>0.73099999999999998</v>
      </c>
      <c r="Q149" s="3">
        <v>-84.108695652173921</v>
      </c>
      <c r="R149" s="14">
        <f t="shared" si="29"/>
        <v>452</v>
      </c>
      <c r="S149">
        <f t="shared" si="22"/>
        <v>4</v>
      </c>
      <c r="T149" t="str">
        <f t="shared" si="23"/>
        <v>113:10</v>
      </c>
      <c r="U149" s="4">
        <f t="shared" si="30"/>
        <v>40</v>
      </c>
    </row>
    <row r="150" spans="1:21">
      <c r="A150">
        <v>149</v>
      </c>
      <c r="B150" t="s">
        <v>672</v>
      </c>
      <c r="C150">
        <v>85</v>
      </c>
      <c r="D150" t="s">
        <v>673</v>
      </c>
      <c r="E150" t="s">
        <v>674</v>
      </c>
      <c r="F150" t="s">
        <v>148</v>
      </c>
      <c r="G150" s="1">
        <v>2.4899999999999999E-2</v>
      </c>
      <c r="H150" t="s">
        <v>675</v>
      </c>
      <c r="I150" t="s">
        <v>676</v>
      </c>
      <c r="J150" t="s">
        <v>23</v>
      </c>
      <c r="K150" s="3">
        <f t="shared" si="24"/>
        <v>7.7306733167082298</v>
      </c>
      <c r="L150" s="7">
        <f t="shared" si="25"/>
        <v>3.1</v>
      </c>
      <c r="M150" s="9">
        <f t="shared" si="26"/>
        <v>40.1</v>
      </c>
      <c r="N150" s="3">
        <v>7.7306733167082298</v>
      </c>
      <c r="O150" s="3">
        <f t="shared" si="27"/>
        <v>-67.92258064516129</v>
      </c>
      <c r="P150" s="11">
        <f t="shared" si="28"/>
        <v>0.99439999999999995</v>
      </c>
      <c r="Q150" s="3">
        <v>-67.92258064516129</v>
      </c>
      <c r="R150" s="14">
        <f t="shared" si="29"/>
        <v>957.9</v>
      </c>
      <c r="S150">
        <f t="shared" si="22"/>
        <v>1</v>
      </c>
      <c r="T150" t="str">
        <f t="shared" si="23"/>
        <v>957.9:40</v>
      </c>
      <c r="U150" s="4">
        <f t="shared" si="30"/>
        <v>40</v>
      </c>
    </row>
    <row r="151" spans="1:21">
      <c r="A151">
        <v>150</v>
      </c>
      <c r="B151" t="s">
        <v>677</v>
      </c>
      <c r="C151">
        <v>85</v>
      </c>
      <c r="D151" t="s">
        <v>55</v>
      </c>
      <c r="E151" t="s">
        <v>678</v>
      </c>
      <c r="F151" t="s">
        <v>679</v>
      </c>
      <c r="G151" s="1">
        <v>4.1000000000000003E-3</v>
      </c>
      <c r="H151" t="s">
        <v>680</v>
      </c>
      <c r="I151" t="s">
        <v>681</v>
      </c>
      <c r="J151" t="s">
        <v>16</v>
      </c>
      <c r="K151" s="3">
        <f t="shared" si="24"/>
        <v>0.627</v>
      </c>
      <c r="L151" s="7">
        <f t="shared" si="25"/>
        <v>0.25080000000000002</v>
      </c>
      <c r="M151" s="9">
        <f t="shared" si="26"/>
        <v>40</v>
      </c>
      <c r="N151" s="3">
        <v>0.627</v>
      </c>
      <c r="O151" s="3">
        <f t="shared" si="27"/>
        <v>-35.526315789473692</v>
      </c>
      <c r="P151" s="11">
        <f t="shared" si="28"/>
        <v>0.16169999999999998</v>
      </c>
      <c r="Q151" s="3">
        <v>-35.526315789473692</v>
      </c>
      <c r="R151" s="14">
        <f t="shared" si="29"/>
        <v>500.5</v>
      </c>
      <c r="S151">
        <f t="shared" si="22"/>
        <v>20</v>
      </c>
      <c r="T151" t="str">
        <f t="shared" si="23"/>
        <v>25.025:2</v>
      </c>
      <c r="U151" s="4">
        <f t="shared" si="30"/>
        <v>40</v>
      </c>
    </row>
    <row r="152" spans="1:21">
      <c r="A152">
        <v>151</v>
      </c>
      <c r="B152" t="s">
        <v>682</v>
      </c>
      <c r="C152">
        <v>81</v>
      </c>
      <c r="D152" t="s">
        <v>683</v>
      </c>
      <c r="E152" t="s">
        <v>678</v>
      </c>
      <c r="F152" t="s">
        <v>684</v>
      </c>
      <c r="G152" s="1">
        <v>2.2000000000000001E-3</v>
      </c>
      <c r="H152" t="s">
        <v>685</v>
      </c>
      <c r="I152" t="s">
        <v>686</v>
      </c>
      <c r="J152" t="s">
        <v>323</v>
      </c>
      <c r="K152" s="3">
        <f t="shared" si="24"/>
        <v>0.29575000000000001</v>
      </c>
      <c r="L152" s="7">
        <f t="shared" si="25"/>
        <v>0.1183</v>
      </c>
      <c r="M152" s="9">
        <f t="shared" si="26"/>
        <v>40</v>
      </c>
      <c r="N152" s="3">
        <v>0.29575000000000001</v>
      </c>
      <c r="O152" s="3">
        <f t="shared" si="27"/>
        <v>-26.120033812341504</v>
      </c>
      <c r="P152" s="11">
        <f t="shared" si="28"/>
        <v>8.7400000000000005E-2</v>
      </c>
      <c r="Q152" s="3">
        <v>-26.120033812341504</v>
      </c>
      <c r="R152" s="14">
        <f t="shared" si="29"/>
        <v>529.9</v>
      </c>
      <c r="S152">
        <f t="shared" si="22"/>
        <v>1</v>
      </c>
      <c r="T152" t="str">
        <f t="shared" si="23"/>
        <v>529.9:40</v>
      </c>
      <c r="U152" s="4">
        <f t="shared" si="30"/>
        <v>40</v>
      </c>
    </row>
    <row r="153" spans="1:21">
      <c r="A153">
        <v>152</v>
      </c>
      <c r="B153" t="s">
        <v>687</v>
      </c>
      <c r="C153">
        <v>75</v>
      </c>
      <c r="D153" t="s">
        <v>79</v>
      </c>
      <c r="E153" t="s">
        <v>688</v>
      </c>
      <c r="F153" t="s">
        <v>689</v>
      </c>
      <c r="G153" s="1">
        <v>4.1999999999999997E-3</v>
      </c>
      <c r="H153" t="s">
        <v>690</v>
      </c>
      <c r="I153" t="s">
        <v>255</v>
      </c>
      <c r="J153" t="s">
        <v>199</v>
      </c>
      <c r="K153" s="3">
        <f t="shared" si="24"/>
        <v>0.8689223057644111</v>
      </c>
      <c r="L153" s="7">
        <f t="shared" si="25"/>
        <v>0.34670000000000001</v>
      </c>
      <c r="M153" s="9">
        <f t="shared" si="26"/>
        <v>39.9</v>
      </c>
      <c r="N153" s="3">
        <v>0.8689223057644111</v>
      </c>
      <c r="O153" s="3">
        <f t="shared" si="27"/>
        <v>-53.014133256417651</v>
      </c>
      <c r="P153" s="11">
        <f t="shared" si="28"/>
        <v>0.16290000000000002</v>
      </c>
      <c r="Q153" s="3">
        <v>-53.014133256417651</v>
      </c>
      <c r="R153" s="14">
        <f t="shared" si="29"/>
        <v>3500</v>
      </c>
      <c r="S153">
        <f t="shared" si="22"/>
        <v>1</v>
      </c>
      <c r="T153" t="str">
        <f t="shared" si="23"/>
        <v>3500:39</v>
      </c>
      <c r="U153" s="4">
        <f t="shared" si="30"/>
        <v>39</v>
      </c>
    </row>
    <row r="154" spans="1:21">
      <c r="A154">
        <v>153</v>
      </c>
      <c r="B154" t="s">
        <v>691</v>
      </c>
      <c r="C154">
        <v>80</v>
      </c>
      <c r="D154" t="s">
        <v>161</v>
      </c>
      <c r="E154" t="s">
        <v>688</v>
      </c>
      <c r="F154" t="s">
        <v>692</v>
      </c>
      <c r="G154" s="1">
        <v>4.5999999999999999E-3</v>
      </c>
      <c r="H154" t="s">
        <v>693</v>
      </c>
      <c r="I154" t="s">
        <v>300</v>
      </c>
      <c r="J154" t="s">
        <v>23</v>
      </c>
      <c r="K154" s="3">
        <f t="shared" si="24"/>
        <v>1.7932330827067671</v>
      </c>
      <c r="L154" s="7">
        <f t="shared" si="25"/>
        <v>0.71550000000000002</v>
      </c>
      <c r="M154" s="9">
        <f t="shared" si="26"/>
        <v>39.9</v>
      </c>
      <c r="N154" s="3">
        <v>1.7932330827067671</v>
      </c>
      <c r="O154" s="3">
        <f t="shared" si="27"/>
        <v>-74.689028651292801</v>
      </c>
      <c r="P154" s="11">
        <f t="shared" si="28"/>
        <v>0.18109999999999998</v>
      </c>
      <c r="Q154" s="3">
        <v>-74.689028651292801</v>
      </c>
      <c r="R154" s="14">
        <f t="shared" si="29"/>
        <v>1700</v>
      </c>
      <c r="S154">
        <f t="shared" si="22"/>
        <v>1</v>
      </c>
      <c r="T154" t="str">
        <f t="shared" si="23"/>
        <v>1700:39</v>
      </c>
      <c r="U154" s="4">
        <f t="shared" si="30"/>
        <v>39</v>
      </c>
    </row>
    <row r="155" spans="1:21">
      <c r="A155">
        <v>154</v>
      </c>
      <c r="B155" t="s">
        <v>694</v>
      </c>
      <c r="C155">
        <v>78</v>
      </c>
      <c r="D155" t="s">
        <v>695</v>
      </c>
      <c r="E155" t="s">
        <v>696</v>
      </c>
      <c r="F155" t="s">
        <v>697</v>
      </c>
      <c r="G155" s="1">
        <v>2.3E-3</v>
      </c>
      <c r="H155" t="s">
        <v>698</v>
      </c>
      <c r="I155" t="s">
        <v>385</v>
      </c>
      <c r="J155" t="s">
        <v>23</v>
      </c>
      <c r="K155" s="3">
        <f t="shared" si="24"/>
        <v>0.40153061224489794</v>
      </c>
      <c r="L155" s="7">
        <f t="shared" si="25"/>
        <v>0.15740000000000001</v>
      </c>
      <c r="M155" s="9">
        <f t="shared" si="26"/>
        <v>39.200000000000003</v>
      </c>
      <c r="N155" s="3">
        <v>0.40153061224489794</v>
      </c>
      <c r="O155" s="3">
        <f t="shared" si="27"/>
        <v>-46.378653113087672</v>
      </c>
      <c r="P155" s="11">
        <f t="shared" si="28"/>
        <v>8.4400000000000003E-2</v>
      </c>
      <c r="Q155" s="3">
        <v>-46.378653113087672</v>
      </c>
      <c r="R155" s="14">
        <f t="shared" si="29"/>
        <v>1800</v>
      </c>
      <c r="S155">
        <f t="shared" si="22"/>
        <v>3</v>
      </c>
      <c r="T155" t="str">
        <f t="shared" si="23"/>
        <v>600:13</v>
      </c>
      <c r="U155" s="4">
        <f t="shared" si="30"/>
        <v>39</v>
      </c>
    </row>
    <row r="156" spans="1:21">
      <c r="A156">
        <v>155</v>
      </c>
      <c r="B156" t="s">
        <v>699</v>
      </c>
      <c r="C156">
        <v>84</v>
      </c>
      <c r="D156" t="s">
        <v>118</v>
      </c>
      <c r="E156" t="s">
        <v>696</v>
      </c>
      <c r="F156" t="s">
        <v>700</v>
      </c>
      <c r="G156" s="1">
        <v>5.8999999999999999E-3</v>
      </c>
      <c r="H156" t="s">
        <v>701</v>
      </c>
      <c r="I156" t="s">
        <v>702</v>
      </c>
      <c r="J156" t="s">
        <v>323</v>
      </c>
      <c r="K156" s="3">
        <f t="shared" si="24"/>
        <v>1.2410714285714286</v>
      </c>
      <c r="L156" s="7">
        <f t="shared" si="25"/>
        <v>0.48649999999999999</v>
      </c>
      <c r="M156" s="9">
        <f t="shared" si="26"/>
        <v>39.200000000000003</v>
      </c>
      <c r="N156" s="3">
        <v>1.2410714285714286</v>
      </c>
      <c r="O156" s="3">
        <f t="shared" si="27"/>
        <v>-53.196300102774927</v>
      </c>
      <c r="P156" s="11">
        <f t="shared" si="28"/>
        <v>0.22769999999999999</v>
      </c>
      <c r="Q156" s="3">
        <v>-53.196300102774927</v>
      </c>
      <c r="R156" s="14">
        <f t="shared" si="29"/>
        <v>563.9</v>
      </c>
      <c r="S156">
        <f t="shared" si="22"/>
        <v>1</v>
      </c>
      <c r="T156" t="str">
        <f t="shared" si="23"/>
        <v>563.9:39</v>
      </c>
      <c r="U156" s="4">
        <f t="shared" si="30"/>
        <v>39</v>
      </c>
    </row>
    <row r="157" spans="1:21">
      <c r="A157">
        <v>156</v>
      </c>
      <c r="B157" t="s">
        <v>703</v>
      </c>
      <c r="C157">
        <v>58</v>
      </c>
      <c r="D157" t="s">
        <v>704</v>
      </c>
      <c r="E157" t="s">
        <v>705</v>
      </c>
      <c r="F157" t="s">
        <v>295</v>
      </c>
      <c r="G157" s="1">
        <v>1.6999999999999999E-3</v>
      </c>
      <c r="H157">
        <v>0</v>
      </c>
      <c r="I157" t="s">
        <v>706</v>
      </c>
      <c r="J157" t="s">
        <v>256</v>
      </c>
      <c r="K157" s="3">
        <f t="shared" si="24"/>
        <v>10.485933503836316</v>
      </c>
      <c r="L157" s="7">
        <f t="shared" si="25"/>
        <v>4.0999999999999996</v>
      </c>
      <c r="M157" s="9">
        <f t="shared" si="26"/>
        <v>39.1</v>
      </c>
      <c r="N157" s="3">
        <v>10.485933503836316</v>
      </c>
      <c r="O157" s="3">
        <f t="shared" si="27"/>
        <v>-100</v>
      </c>
      <c r="P157" s="11">
        <f t="shared" si="28"/>
        <v>0</v>
      </c>
      <c r="Q157" s="3">
        <v>-100</v>
      </c>
      <c r="R157" s="14">
        <f t="shared" si="29"/>
        <v>439.4</v>
      </c>
      <c r="S157">
        <f t="shared" si="22"/>
        <v>1</v>
      </c>
      <c r="T157" t="str">
        <f t="shared" si="23"/>
        <v>439.4:39</v>
      </c>
      <c r="U157" s="4">
        <f t="shared" si="30"/>
        <v>39</v>
      </c>
    </row>
    <row r="158" spans="1:21">
      <c r="A158">
        <v>157</v>
      </c>
      <c r="B158" t="s">
        <v>707</v>
      </c>
      <c r="C158">
        <v>74</v>
      </c>
      <c r="D158" t="s">
        <v>708</v>
      </c>
      <c r="E158" t="s">
        <v>705</v>
      </c>
      <c r="F158" t="s">
        <v>709</v>
      </c>
      <c r="G158" s="1">
        <v>8.5599999999999996E-2</v>
      </c>
      <c r="H158" t="s">
        <v>34</v>
      </c>
      <c r="I158" t="s">
        <v>121</v>
      </c>
      <c r="J158" t="s">
        <v>897</v>
      </c>
      <c r="K158" s="3">
        <f t="shared" si="24"/>
        <v>5.6265984654731458</v>
      </c>
      <c r="L158" s="7">
        <f t="shared" si="25"/>
        <v>2.2000000000000002</v>
      </c>
      <c r="M158" s="9">
        <f t="shared" si="26"/>
        <v>39.1</v>
      </c>
      <c r="N158" s="3">
        <v>5.6265984654731458</v>
      </c>
      <c r="O158" s="3">
        <f t="shared" si="27"/>
        <v>49.999999999999979</v>
      </c>
      <c r="P158" s="11">
        <f t="shared" si="28"/>
        <v>3.3</v>
      </c>
      <c r="Q158" s="3">
        <v>49.999999999999979</v>
      </c>
      <c r="R158" s="14">
        <f t="shared" si="29"/>
        <v>1600</v>
      </c>
      <c r="S158">
        <f t="shared" si="22"/>
        <v>1</v>
      </c>
      <c r="T158" t="str">
        <f t="shared" si="23"/>
        <v>1600:39</v>
      </c>
      <c r="U158" s="4">
        <f t="shared" si="30"/>
        <v>39</v>
      </c>
    </row>
    <row r="159" spans="1:21">
      <c r="A159">
        <v>158</v>
      </c>
      <c r="B159" t="s">
        <v>710</v>
      </c>
      <c r="C159">
        <v>80</v>
      </c>
      <c r="D159" t="s">
        <v>31</v>
      </c>
      <c r="E159" t="s">
        <v>711</v>
      </c>
      <c r="F159" t="s">
        <v>712</v>
      </c>
      <c r="G159" s="1">
        <v>1.01E-2</v>
      </c>
      <c r="H159" t="s">
        <v>713</v>
      </c>
      <c r="I159" t="s">
        <v>714</v>
      </c>
      <c r="J159" t="s">
        <v>306</v>
      </c>
      <c r="K159" s="3">
        <f t="shared" si="24"/>
        <v>2.0917948717948716</v>
      </c>
      <c r="L159" s="7">
        <f t="shared" si="25"/>
        <v>0.81579999999999997</v>
      </c>
      <c r="M159" s="9">
        <f t="shared" si="26"/>
        <v>39</v>
      </c>
      <c r="N159" s="3">
        <v>2.0917948717948716</v>
      </c>
      <c r="O159" s="3">
        <f t="shared" si="27"/>
        <v>-53.01544496200048</v>
      </c>
      <c r="P159" s="11">
        <f t="shared" si="28"/>
        <v>0.38330000000000003</v>
      </c>
      <c r="Q159" s="3">
        <v>-53.01544496200048</v>
      </c>
      <c r="R159" s="14">
        <f t="shared" si="29"/>
        <v>1400</v>
      </c>
      <c r="S159">
        <f t="shared" si="22"/>
        <v>1</v>
      </c>
      <c r="T159" t="str">
        <f t="shared" si="23"/>
        <v>1400:39</v>
      </c>
      <c r="U159" s="4">
        <f t="shared" si="30"/>
        <v>39</v>
      </c>
    </row>
    <row r="160" spans="1:21">
      <c r="A160">
        <v>159</v>
      </c>
      <c r="B160" t="s">
        <v>715</v>
      </c>
      <c r="C160">
        <v>79</v>
      </c>
      <c r="D160" t="s">
        <v>325</v>
      </c>
      <c r="E160" t="s">
        <v>716</v>
      </c>
      <c r="F160" t="s">
        <v>717</v>
      </c>
      <c r="G160" s="1">
        <v>4.3E-3</v>
      </c>
      <c r="H160" t="s">
        <v>718</v>
      </c>
      <c r="I160" t="s">
        <v>572</v>
      </c>
      <c r="J160" t="s">
        <v>23</v>
      </c>
      <c r="K160" s="3">
        <f t="shared" si="24"/>
        <v>1.6017994858611824</v>
      </c>
      <c r="L160" s="7">
        <f t="shared" si="25"/>
        <v>0.62309999999999999</v>
      </c>
      <c r="M160" s="9">
        <f t="shared" si="26"/>
        <v>38.9</v>
      </c>
      <c r="N160" s="3">
        <v>1.6017994858611824</v>
      </c>
      <c r="O160" s="3">
        <f t="shared" si="27"/>
        <v>-73.984914138982504</v>
      </c>
      <c r="P160" s="11">
        <f t="shared" si="28"/>
        <v>0.16209999999999999</v>
      </c>
      <c r="Q160" s="3">
        <v>-73.984914138982504</v>
      </c>
      <c r="R160" s="14">
        <f t="shared" si="29"/>
        <v>3200</v>
      </c>
      <c r="S160">
        <f t="shared" si="22"/>
        <v>2</v>
      </c>
      <c r="T160" t="str">
        <f t="shared" si="23"/>
        <v>1600:19</v>
      </c>
      <c r="U160" s="4">
        <f t="shared" si="30"/>
        <v>38</v>
      </c>
    </row>
    <row r="161" spans="1:21">
      <c r="A161">
        <v>160</v>
      </c>
      <c r="B161" t="s">
        <v>719</v>
      </c>
      <c r="C161">
        <v>75</v>
      </c>
      <c r="D161" t="s">
        <v>720</v>
      </c>
      <c r="E161" t="s">
        <v>721</v>
      </c>
      <c r="F161" t="s">
        <v>613</v>
      </c>
      <c r="G161" s="1">
        <v>1.2999999999999999E-3</v>
      </c>
      <c r="H161" t="s">
        <v>722</v>
      </c>
      <c r="I161" t="s">
        <v>226</v>
      </c>
      <c r="J161" t="s">
        <v>323</v>
      </c>
      <c r="K161" s="3">
        <f t="shared" si="24"/>
        <v>0.35902061855670109</v>
      </c>
      <c r="L161" s="7">
        <f t="shared" si="25"/>
        <v>0.13930000000000001</v>
      </c>
      <c r="M161" s="9">
        <f t="shared" si="26"/>
        <v>38.799999999999997</v>
      </c>
      <c r="N161" s="3">
        <v>0.35902061855670109</v>
      </c>
      <c r="O161" s="3">
        <f t="shared" si="27"/>
        <v>-64.752333094041632</v>
      </c>
      <c r="P161" s="11">
        <f t="shared" si="28"/>
        <v>4.9100000000000005E-2</v>
      </c>
      <c r="Q161" s="3">
        <v>-64.752333094041632</v>
      </c>
      <c r="R161" s="14">
        <f t="shared" si="29"/>
        <v>1900</v>
      </c>
      <c r="S161">
        <f t="shared" si="22"/>
        <v>38</v>
      </c>
      <c r="T161" t="str">
        <f t="shared" si="23"/>
        <v>50:1</v>
      </c>
      <c r="U161" s="4">
        <f t="shared" si="30"/>
        <v>38</v>
      </c>
    </row>
    <row r="162" spans="1:21">
      <c r="A162">
        <v>161</v>
      </c>
      <c r="B162" t="s">
        <v>723</v>
      </c>
      <c r="C162">
        <v>80</v>
      </c>
      <c r="D162" t="s">
        <v>724</v>
      </c>
      <c r="E162" t="s">
        <v>725</v>
      </c>
      <c r="F162" t="s">
        <v>726</v>
      </c>
      <c r="G162" s="1">
        <v>3.0999999999999999E-3</v>
      </c>
      <c r="H162" t="s">
        <v>727</v>
      </c>
      <c r="I162" t="s">
        <v>728</v>
      </c>
      <c r="J162" t="s">
        <v>23</v>
      </c>
      <c r="K162" s="3">
        <f t="shared" si="24"/>
        <v>1.0302325581395348</v>
      </c>
      <c r="L162" s="7">
        <f t="shared" si="25"/>
        <v>0.3987</v>
      </c>
      <c r="M162" s="9">
        <f t="shared" si="26"/>
        <v>38.700000000000003</v>
      </c>
      <c r="N162" s="3">
        <v>1.0302325581395348</v>
      </c>
      <c r="O162" s="3">
        <f t="shared" si="27"/>
        <v>-70.980687233508917</v>
      </c>
      <c r="P162" s="11">
        <f t="shared" si="28"/>
        <v>0.1157</v>
      </c>
      <c r="Q162" s="3">
        <v>-70.980687233508917</v>
      </c>
      <c r="R162" s="14">
        <f t="shared" si="29"/>
        <v>199.8</v>
      </c>
      <c r="S162">
        <f t="shared" ref="S162:S193" si="31">GCD(U162,R162)</f>
        <v>1</v>
      </c>
      <c r="T162" t="str">
        <f t="shared" ref="T162:T193" si="32">R162/S162&amp;":"&amp;U162/S162</f>
        <v>199.8:38</v>
      </c>
      <c r="U162" s="4">
        <f t="shared" si="30"/>
        <v>38</v>
      </c>
    </row>
    <row r="163" spans="1:21">
      <c r="A163">
        <v>162</v>
      </c>
      <c r="B163" t="s">
        <v>729</v>
      </c>
      <c r="C163">
        <v>83</v>
      </c>
      <c r="D163" t="s">
        <v>180</v>
      </c>
      <c r="E163" t="s">
        <v>730</v>
      </c>
      <c r="F163" t="s">
        <v>731</v>
      </c>
      <c r="G163" s="1">
        <v>5.9999999999999995E-4</v>
      </c>
      <c r="H163" t="s">
        <v>732</v>
      </c>
      <c r="I163" t="s">
        <v>733</v>
      </c>
      <c r="J163" t="s">
        <v>734</v>
      </c>
      <c r="K163" s="3">
        <f t="shared" si="24"/>
        <v>0.22961038961038963</v>
      </c>
      <c r="L163" s="7">
        <f t="shared" si="25"/>
        <v>8.8400000000000006E-2</v>
      </c>
      <c r="M163" s="9">
        <f t="shared" si="26"/>
        <v>38.5</v>
      </c>
      <c r="N163" s="3">
        <v>0.22961038961038963</v>
      </c>
      <c r="O163" s="3">
        <f t="shared" si="27"/>
        <v>-74.660633484162901</v>
      </c>
      <c r="P163" s="11">
        <f t="shared" si="28"/>
        <v>2.24E-2</v>
      </c>
      <c r="Q163" s="3">
        <v>-74.660633484162901</v>
      </c>
      <c r="R163" s="14">
        <f t="shared" si="29"/>
        <v>644.1</v>
      </c>
      <c r="S163">
        <f t="shared" si="31"/>
        <v>2</v>
      </c>
      <c r="T163" t="str">
        <f t="shared" si="32"/>
        <v>322.05:19</v>
      </c>
      <c r="U163" s="4">
        <f t="shared" si="30"/>
        <v>38</v>
      </c>
    </row>
    <row r="164" spans="1:21">
      <c r="A164">
        <v>163</v>
      </c>
      <c r="B164" t="s">
        <v>735</v>
      </c>
      <c r="C164">
        <v>85</v>
      </c>
      <c r="D164" t="s">
        <v>123</v>
      </c>
      <c r="E164" t="s">
        <v>736</v>
      </c>
      <c r="F164" t="s">
        <v>737</v>
      </c>
      <c r="G164" s="1">
        <v>1.7500000000000002E-2</v>
      </c>
      <c r="H164" t="s">
        <v>738</v>
      </c>
      <c r="I164" t="s">
        <v>77</v>
      </c>
      <c r="J164" t="s">
        <v>256</v>
      </c>
      <c r="K164" s="3">
        <f t="shared" si="24"/>
        <v>1.8156657963446479</v>
      </c>
      <c r="L164" s="7">
        <f t="shared" si="25"/>
        <v>0.69540000000000002</v>
      </c>
      <c r="M164" s="9">
        <f t="shared" si="26"/>
        <v>38.299999999999997</v>
      </c>
      <c r="N164" s="3">
        <v>1.8156657963446479</v>
      </c>
      <c r="O164" s="3">
        <f t="shared" si="27"/>
        <v>-5.3350589588725938</v>
      </c>
      <c r="P164" s="11">
        <f t="shared" si="28"/>
        <v>0.6583</v>
      </c>
      <c r="Q164" s="3">
        <v>-5.3350589588725938</v>
      </c>
      <c r="R164" s="14">
        <f t="shared" si="29"/>
        <v>3700</v>
      </c>
      <c r="S164">
        <f t="shared" si="31"/>
        <v>2</v>
      </c>
      <c r="T164" t="str">
        <f t="shared" si="32"/>
        <v>1850:19</v>
      </c>
      <c r="U164" s="4">
        <f t="shared" si="30"/>
        <v>38</v>
      </c>
    </row>
    <row r="165" spans="1:21">
      <c r="A165">
        <v>164</v>
      </c>
      <c r="B165" t="s">
        <v>739</v>
      </c>
      <c r="C165">
        <v>84</v>
      </c>
      <c r="D165" t="s">
        <v>708</v>
      </c>
      <c r="E165" t="s">
        <v>736</v>
      </c>
      <c r="F165" t="s">
        <v>740</v>
      </c>
      <c r="G165" s="1">
        <v>0.01</v>
      </c>
      <c r="H165" t="s">
        <v>741</v>
      </c>
      <c r="I165" t="s">
        <v>742</v>
      </c>
      <c r="J165" t="s">
        <v>23</v>
      </c>
      <c r="K165" s="3">
        <f t="shared" si="24"/>
        <v>2.1240208877284594</v>
      </c>
      <c r="L165" s="7">
        <f t="shared" si="25"/>
        <v>0.8135</v>
      </c>
      <c r="M165" s="9">
        <f t="shared" si="26"/>
        <v>38.299999999999997</v>
      </c>
      <c r="N165" s="3">
        <v>2.1240208877284594</v>
      </c>
      <c r="O165" s="3">
        <f t="shared" si="27"/>
        <v>-55.279655808236015</v>
      </c>
      <c r="P165" s="11">
        <f t="shared" si="28"/>
        <v>0.36380000000000001</v>
      </c>
      <c r="Q165" s="3">
        <v>-55.279655808236015</v>
      </c>
      <c r="R165" s="14">
        <f t="shared" si="29"/>
        <v>594.70000000000005</v>
      </c>
      <c r="S165">
        <f t="shared" si="31"/>
        <v>2</v>
      </c>
      <c r="T165" t="str">
        <f t="shared" si="32"/>
        <v>297.35:19</v>
      </c>
      <c r="U165" s="4">
        <f t="shared" si="30"/>
        <v>38</v>
      </c>
    </row>
    <row r="166" spans="1:21">
      <c r="A166">
        <v>165</v>
      </c>
      <c r="B166" t="s">
        <v>743</v>
      </c>
      <c r="C166">
        <v>83</v>
      </c>
      <c r="D166" t="s">
        <v>364</v>
      </c>
      <c r="E166" t="s">
        <v>744</v>
      </c>
      <c r="F166" t="s">
        <v>745</v>
      </c>
      <c r="G166" s="1">
        <v>1.5800000000000002E-2</v>
      </c>
      <c r="H166" t="s">
        <v>746</v>
      </c>
      <c r="I166" t="s">
        <v>121</v>
      </c>
      <c r="J166" t="s">
        <v>23</v>
      </c>
      <c r="K166" s="3">
        <f t="shared" si="24"/>
        <v>1.5595800524934385</v>
      </c>
      <c r="L166" s="7">
        <f t="shared" si="25"/>
        <v>0.59420000000000006</v>
      </c>
      <c r="M166" s="9">
        <f t="shared" si="26"/>
        <v>38.1</v>
      </c>
      <c r="N166" s="3">
        <v>1.5595800524934385</v>
      </c>
      <c r="O166" s="3">
        <f t="shared" si="27"/>
        <v>-6.4456411982497661</v>
      </c>
      <c r="P166" s="11">
        <f t="shared" si="28"/>
        <v>0.55589999999999995</v>
      </c>
      <c r="Q166" s="3">
        <v>-6.4456411982497661</v>
      </c>
      <c r="R166" s="14">
        <f t="shared" si="29"/>
        <v>1600</v>
      </c>
      <c r="S166">
        <f t="shared" si="31"/>
        <v>2</v>
      </c>
      <c r="T166" t="str">
        <f t="shared" si="32"/>
        <v>800:19</v>
      </c>
      <c r="U166" s="4">
        <f t="shared" si="30"/>
        <v>38</v>
      </c>
    </row>
    <row r="167" spans="1:21">
      <c r="A167">
        <v>166</v>
      </c>
      <c r="B167" t="s">
        <v>747</v>
      </c>
      <c r="C167">
        <v>80</v>
      </c>
      <c r="D167" t="s">
        <v>495</v>
      </c>
      <c r="E167" t="s">
        <v>748</v>
      </c>
      <c r="F167" t="s">
        <v>749</v>
      </c>
      <c r="G167" s="1">
        <v>2.0000000000000001E-4</v>
      </c>
      <c r="H167">
        <v>0</v>
      </c>
      <c r="I167" t="s">
        <v>204</v>
      </c>
      <c r="J167" t="s">
        <v>127</v>
      </c>
      <c r="K167" s="3">
        <f t="shared" si="24"/>
        <v>0.68475935828877021</v>
      </c>
      <c r="L167" s="7">
        <f t="shared" si="25"/>
        <v>0.25610000000000005</v>
      </c>
      <c r="M167" s="9">
        <f t="shared" si="26"/>
        <v>37.4</v>
      </c>
      <c r="N167" s="3">
        <v>0.68475935828877021</v>
      </c>
      <c r="O167" s="3">
        <f t="shared" si="27"/>
        <v>-100</v>
      </c>
      <c r="P167" s="11">
        <f t="shared" si="28"/>
        <v>0</v>
      </c>
      <c r="Q167" s="3">
        <v>-100</v>
      </c>
      <c r="R167" s="14">
        <f t="shared" si="29"/>
        <v>2300</v>
      </c>
      <c r="S167">
        <f t="shared" si="31"/>
        <v>1</v>
      </c>
      <c r="T167" t="str">
        <f t="shared" si="32"/>
        <v>2300:37</v>
      </c>
      <c r="U167" s="4">
        <f t="shared" si="30"/>
        <v>37</v>
      </c>
    </row>
    <row r="168" spans="1:21">
      <c r="A168">
        <v>167</v>
      </c>
      <c r="B168" t="s">
        <v>750</v>
      </c>
      <c r="C168">
        <v>84</v>
      </c>
      <c r="D168" t="s">
        <v>196</v>
      </c>
      <c r="E168" t="s">
        <v>748</v>
      </c>
      <c r="F168" t="s">
        <v>751</v>
      </c>
      <c r="G168" s="1">
        <v>6.7999999999999996E-3</v>
      </c>
      <c r="H168" t="s">
        <v>752</v>
      </c>
      <c r="I168" t="s">
        <v>753</v>
      </c>
      <c r="J168" t="s">
        <v>256</v>
      </c>
      <c r="K168" s="3">
        <f t="shared" si="24"/>
        <v>1.3521390374331552</v>
      </c>
      <c r="L168" s="7">
        <f t="shared" si="25"/>
        <v>0.50570000000000004</v>
      </c>
      <c r="M168" s="9">
        <f t="shared" si="26"/>
        <v>37.4</v>
      </c>
      <c r="N168" s="3">
        <v>1.3521390374331552</v>
      </c>
      <c r="O168" s="3">
        <f t="shared" si="27"/>
        <v>-51.176586909234722</v>
      </c>
      <c r="P168" s="11">
        <f t="shared" si="28"/>
        <v>0.24690000000000001</v>
      </c>
      <c r="Q168" s="3">
        <v>-51.176586909234722</v>
      </c>
      <c r="R168" s="14">
        <f t="shared" si="29"/>
        <v>672.1</v>
      </c>
      <c r="S168">
        <f t="shared" si="31"/>
        <v>1</v>
      </c>
      <c r="T168" t="str">
        <f t="shared" si="32"/>
        <v>672.1:37</v>
      </c>
      <c r="U168" s="4">
        <f t="shared" si="30"/>
        <v>37</v>
      </c>
    </row>
    <row r="169" spans="1:21">
      <c r="A169">
        <v>168</v>
      </c>
      <c r="B169" t="s">
        <v>754</v>
      </c>
      <c r="C169">
        <v>83</v>
      </c>
      <c r="D169" t="s">
        <v>755</v>
      </c>
      <c r="E169" t="s">
        <v>756</v>
      </c>
      <c r="F169" t="s">
        <v>757</v>
      </c>
      <c r="G169" t="s">
        <v>758</v>
      </c>
      <c r="H169">
        <v>0</v>
      </c>
      <c r="I169" t="s">
        <v>579</v>
      </c>
      <c r="J169" t="s">
        <v>256</v>
      </c>
      <c r="K169" s="3">
        <f t="shared" si="24"/>
        <v>29.45945945945946</v>
      </c>
      <c r="L169" s="7">
        <f t="shared" si="25"/>
        <v>10.9</v>
      </c>
      <c r="M169" s="9">
        <f t="shared" si="26"/>
        <v>37</v>
      </c>
      <c r="N169" s="3">
        <v>29.45945945945946</v>
      </c>
      <c r="O169" s="3">
        <f t="shared" si="27"/>
        <v>-100</v>
      </c>
      <c r="P169" s="11">
        <f t="shared" si="28"/>
        <v>0</v>
      </c>
      <c r="Q169" s="3">
        <v>-100</v>
      </c>
      <c r="R169" s="14">
        <f t="shared" si="29"/>
        <v>1200</v>
      </c>
      <c r="S169">
        <f t="shared" si="31"/>
        <v>1</v>
      </c>
      <c r="T169" t="str">
        <f t="shared" si="32"/>
        <v>1200:37</v>
      </c>
      <c r="U169" s="4">
        <f t="shared" si="30"/>
        <v>37</v>
      </c>
    </row>
    <row r="170" spans="1:21">
      <c r="A170">
        <v>169</v>
      </c>
      <c r="B170" t="s">
        <v>759</v>
      </c>
      <c r="C170">
        <v>76</v>
      </c>
      <c r="D170" t="s">
        <v>760</v>
      </c>
      <c r="E170" t="s">
        <v>761</v>
      </c>
      <c r="F170" t="s">
        <v>762</v>
      </c>
      <c r="G170" s="1">
        <v>1.1999999999999999E-3</v>
      </c>
      <c r="H170" t="s">
        <v>763</v>
      </c>
      <c r="I170" t="s">
        <v>764</v>
      </c>
      <c r="J170" t="s">
        <v>323</v>
      </c>
      <c r="K170" s="3">
        <f t="shared" si="24"/>
        <v>0.46829268292682935</v>
      </c>
      <c r="L170" s="7">
        <f t="shared" si="25"/>
        <v>0.17280000000000001</v>
      </c>
      <c r="M170" s="9">
        <f t="shared" si="26"/>
        <v>36.9</v>
      </c>
      <c r="N170" s="3">
        <v>0.46829268292682935</v>
      </c>
      <c r="O170" s="3">
        <f t="shared" si="27"/>
        <v>-74.884259259259267</v>
      </c>
      <c r="P170" s="11">
        <f t="shared" si="28"/>
        <v>4.3400000000000001E-2</v>
      </c>
      <c r="Q170" s="3">
        <v>-74.884259259259267</v>
      </c>
      <c r="R170" s="14">
        <f t="shared" si="29"/>
        <v>66.7</v>
      </c>
      <c r="S170">
        <f t="shared" si="31"/>
        <v>6</v>
      </c>
      <c r="T170" t="str">
        <f t="shared" si="32"/>
        <v>11.1166666666667:6</v>
      </c>
      <c r="U170" s="4">
        <f t="shared" si="30"/>
        <v>36</v>
      </c>
    </row>
    <row r="171" spans="1:21">
      <c r="A171">
        <v>170</v>
      </c>
      <c r="B171" t="s">
        <v>765</v>
      </c>
      <c r="C171">
        <v>83</v>
      </c>
      <c r="D171" t="s">
        <v>218</v>
      </c>
      <c r="E171" t="s">
        <v>766</v>
      </c>
      <c r="F171" t="s">
        <v>153</v>
      </c>
      <c r="G171" s="1">
        <v>5.7000000000000002E-3</v>
      </c>
      <c r="H171" t="s">
        <v>767</v>
      </c>
      <c r="I171" t="s">
        <v>768</v>
      </c>
      <c r="J171" t="s">
        <v>349</v>
      </c>
      <c r="K171" s="3">
        <f t="shared" si="24"/>
        <v>3.0136986301369864</v>
      </c>
      <c r="L171" s="7">
        <f t="shared" si="25"/>
        <v>1.1000000000000001</v>
      </c>
      <c r="M171" s="9">
        <f t="shared" si="26"/>
        <v>36.5</v>
      </c>
      <c r="N171" s="3">
        <v>3.0136986301369864</v>
      </c>
      <c r="O171" s="3">
        <f t="shared" si="27"/>
        <v>-81.490909090909085</v>
      </c>
      <c r="P171" s="11">
        <f t="shared" si="28"/>
        <v>0.2036</v>
      </c>
      <c r="Q171" s="3">
        <v>-81.490909090909085</v>
      </c>
      <c r="R171" s="14">
        <f t="shared" si="29"/>
        <v>955.4</v>
      </c>
      <c r="S171">
        <f t="shared" si="31"/>
        <v>1</v>
      </c>
      <c r="T171" t="str">
        <f t="shared" si="32"/>
        <v>955.4:36</v>
      </c>
      <c r="U171" s="4">
        <f t="shared" si="30"/>
        <v>36</v>
      </c>
    </row>
    <row r="172" spans="1:21">
      <c r="A172">
        <v>171</v>
      </c>
      <c r="B172" t="s">
        <v>769</v>
      </c>
      <c r="C172">
        <v>85</v>
      </c>
      <c r="D172" t="s">
        <v>356</v>
      </c>
      <c r="E172" t="s">
        <v>766</v>
      </c>
      <c r="F172" t="s">
        <v>770</v>
      </c>
      <c r="G172" s="1">
        <v>1E-3</v>
      </c>
      <c r="H172" t="s">
        <v>771</v>
      </c>
      <c r="I172" t="s">
        <v>132</v>
      </c>
      <c r="J172" t="s">
        <v>500</v>
      </c>
      <c r="K172" s="3">
        <f t="shared" si="24"/>
        <v>0.41232876712328764</v>
      </c>
      <c r="L172" s="7">
        <f t="shared" si="25"/>
        <v>0.15049999999999999</v>
      </c>
      <c r="M172" s="9">
        <f t="shared" si="26"/>
        <v>36.5</v>
      </c>
      <c r="N172" s="3">
        <v>0.41232876712328764</v>
      </c>
      <c r="O172" s="3">
        <f t="shared" si="27"/>
        <v>-77.807308970099669</v>
      </c>
      <c r="P172" s="11">
        <f t="shared" si="28"/>
        <v>3.3399999999999999E-2</v>
      </c>
      <c r="Q172" s="3">
        <v>-77.807308970099669</v>
      </c>
      <c r="R172" s="14">
        <f t="shared" si="29"/>
        <v>1500</v>
      </c>
      <c r="S172">
        <f t="shared" si="31"/>
        <v>12</v>
      </c>
      <c r="T172" t="str">
        <f t="shared" si="32"/>
        <v>125:3</v>
      </c>
      <c r="U172" s="4">
        <f t="shared" si="30"/>
        <v>36</v>
      </c>
    </row>
    <row r="173" spans="1:21">
      <c r="A173">
        <v>172</v>
      </c>
      <c r="B173" t="s">
        <v>772</v>
      </c>
      <c r="C173">
        <v>84</v>
      </c>
      <c r="D173" t="s">
        <v>73</v>
      </c>
      <c r="E173" t="s">
        <v>773</v>
      </c>
      <c r="F173" t="s">
        <v>153</v>
      </c>
      <c r="G173" s="1">
        <v>2.69E-2</v>
      </c>
      <c r="H173" t="s">
        <v>774</v>
      </c>
      <c r="I173" t="s">
        <v>775</v>
      </c>
      <c r="J173" t="s">
        <v>23</v>
      </c>
      <c r="K173" s="3">
        <f t="shared" si="24"/>
        <v>3.0219780219780223</v>
      </c>
      <c r="L173" s="7">
        <f t="shared" si="25"/>
        <v>1.1000000000000001</v>
      </c>
      <c r="M173" s="9">
        <f t="shared" si="26"/>
        <v>36.4</v>
      </c>
      <c r="N173" s="3">
        <v>3.0219780219780223</v>
      </c>
      <c r="O173" s="3">
        <f t="shared" si="27"/>
        <v>-12.481818181818188</v>
      </c>
      <c r="P173" s="11">
        <f t="shared" si="28"/>
        <v>0.9627</v>
      </c>
      <c r="Q173" s="3">
        <v>-12.481818181818188</v>
      </c>
      <c r="R173" s="14">
        <f t="shared" si="29"/>
        <v>730.1</v>
      </c>
      <c r="S173">
        <f t="shared" si="31"/>
        <v>2</v>
      </c>
      <c r="T173" t="str">
        <f t="shared" si="32"/>
        <v>365.05:18</v>
      </c>
      <c r="U173" s="4">
        <f t="shared" si="30"/>
        <v>36</v>
      </c>
    </row>
    <row r="174" spans="1:21">
      <c r="A174">
        <v>173</v>
      </c>
      <c r="B174" t="s">
        <v>776</v>
      </c>
      <c r="C174">
        <v>77</v>
      </c>
      <c r="D174" t="s">
        <v>79</v>
      </c>
      <c r="E174" t="s">
        <v>777</v>
      </c>
      <c r="F174" t="s">
        <v>778</v>
      </c>
      <c r="G174" s="1">
        <v>1.8E-3</v>
      </c>
      <c r="H174" t="s">
        <v>779</v>
      </c>
      <c r="I174" t="s">
        <v>231</v>
      </c>
      <c r="J174" t="s">
        <v>780</v>
      </c>
      <c r="K174" s="3">
        <f t="shared" si="24"/>
        <v>0.54972222222222222</v>
      </c>
      <c r="L174" s="7">
        <f t="shared" si="25"/>
        <v>0.19789999999999999</v>
      </c>
      <c r="M174" s="9">
        <f t="shared" si="26"/>
        <v>36</v>
      </c>
      <c r="N174" s="3">
        <v>0.54972222222222222</v>
      </c>
      <c r="O174" s="3">
        <f t="shared" si="27"/>
        <v>-67.357251136937847</v>
      </c>
      <c r="P174" s="11">
        <f t="shared" si="28"/>
        <v>6.4599999999999991E-2</v>
      </c>
      <c r="Q174" s="3">
        <v>-67.357251136937847</v>
      </c>
      <c r="R174" s="14">
        <f t="shared" si="29"/>
        <v>2000</v>
      </c>
      <c r="S174">
        <f t="shared" si="31"/>
        <v>4</v>
      </c>
      <c r="T174" t="str">
        <f t="shared" si="32"/>
        <v>500:9</v>
      </c>
      <c r="U174" s="4">
        <f t="shared" si="30"/>
        <v>36</v>
      </c>
    </row>
    <row r="175" spans="1:21">
      <c r="A175">
        <v>174</v>
      </c>
      <c r="B175" t="s">
        <v>781</v>
      </c>
      <c r="C175">
        <v>81</v>
      </c>
      <c r="D175" t="s">
        <v>118</v>
      </c>
      <c r="E175" t="s">
        <v>782</v>
      </c>
      <c r="F175" t="s">
        <v>709</v>
      </c>
      <c r="G175" s="1">
        <v>2.3400000000000001E-2</v>
      </c>
      <c r="H175" t="s">
        <v>783</v>
      </c>
      <c r="I175" t="s">
        <v>198</v>
      </c>
      <c r="J175" t="s">
        <v>23</v>
      </c>
      <c r="K175" s="3">
        <f t="shared" si="24"/>
        <v>6.1281337047353768</v>
      </c>
      <c r="L175" s="7">
        <f t="shared" si="25"/>
        <v>2.2000000000000002</v>
      </c>
      <c r="M175" s="9">
        <f t="shared" si="26"/>
        <v>35.9</v>
      </c>
      <c r="N175" s="3">
        <v>6.1281337047353768</v>
      </c>
      <c r="O175" s="3">
        <f t="shared" si="27"/>
        <v>-62.06818181818182</v>
      </c>
      <c r="P175" s="11">
        <f t="shared" si="28"/>
        <v>0.83450000000000002</v>
      </c>
      <c r="Q175" s="3">
        <v>-62.06818181818182</v>
      </c>
      <c r="R175" s="14">
        <f t="shared" si="29"/>
        <v>2600</v>
      </c>
      <c r="S175">
        <f t="shared" si="31"/>
        <v>5</v>
      </c>
      <c r="T175" t="str">
        <f t="shared" si="32"/>
        <v>520:7</v>
      </c>
      <c r="U175" s="4">
        <f t="shared" si="30"/>
        <v>35</v>
      </c>
    </row>
    <row r="176" spans="1:21">
      <c r="A176">
        <v>175</v>
      </c>
      <c r="B176" t="s">
        <v>784</v>
      </c>
      <c r="C176">
        <v>47</v>
      </c>
      <c r="D176" t="s">
        <v>785</v>
      </c>
      <c r="E176" t="s">
        <v>782</v>
      </c>
      <c r="F176" t="s">
        <v>786</v>
      </c>
      <c r="G176" s="1">
        <v>8.0000000000000002E-3</v>
      </c>
      <c r="H176" t="s">
        <v>787</v>
      </c>
      <c r="I176" t="s">
        <v>788</v>
      </c>
      <c r="J176" t="s">
        <v>789</v>
      </c>
      <c r="K176" s="3">
        <f t="shared" si="24"/>
        <v>1.443175487465181</v>
      </c>
      <c r="L176" s="7">
        <f t="shared" si="25"/>
        <v>0.5181</v>
      </c>
      <c r="M176" s="9">
        <f t="shared" si="26"/>
        <v>35.9</v>
      </c>
      <c r="N176" s="3">
        <v>1.443175487465181</v>
      </c>
      <c r="O176" s="3">
        <f t="shared" si="27"/>
        <v>-44.81760277938622</v>
      </c>
      <c r="P176" s="11">
        <f t="shared" si="28"/>
        <v>0.28589999999999999</v>
      </c>
      <c r="Q176" s="3">
        <v>-44.81760277938622</v>
      </c>
      <c r="R176" s="14">
        <f t="shared" si="29"/>
        <v>18.7</v>
      </c>
      <c r="S176">
        <f t="shared" si="31"/>
        <v>1</v>
      </c>
      <c r="T176" t="str">
        <f t="shared" si="32"/>
        <v>18.7:35</v>
      </c>
      <c r="U176" s="4">
        <f t="shared" si="30"/>
        <v>35</v>
      </c>
    </row>
    <row r="177" spans="1:21">
      <c r="A177">
        <v>176</v>
      </c>
      <c r="B177" t="s">
        <v>790</v>
      </c>
      <c r="C177">
        <v>82</v>
      </c>
      <c r="D177" t="s">
        <v>473</v>
      </c>
      <c r="E177" t="s">
        <v>791</v>
      </c>
      <c r="F177" t="s">
        <v>115</v>
      </c>
      <c r="G177" s="1">
        <v>2.5399999999999999E-2</v>
      </c>
      <c r="H177" t="s">
        <v>792</v>
      </c>
      <c r="I177" t="s">
        <v>132</v>
      </c>
      <c r="J177" t="s">
        <v>256</v>
      </c>
      <c r="K177" s="3">
        <f t="shared" si="24"/>
        <v>3.6516853932584268</v>
      </c>
      <c r="L177" s="7">
        <f t="shared" si="25"/>
        <v>1.3</v>
      </c>
      <c r="M177" s="9">
        <f t="shared" si="26"/>
        <v>35.6</v>
      </c>
      <c r="N177" s="3">
        <v>3.6516853932584268</v>
      </c>
      <c r="O177" s="3">
        <f t="shared" si="27"/>
        <v>-40</v>
      </c>
      <c r="P177" s="11">
        <f t="shared" si="28"/>
        <v>0.78</v>
      </c>
      <c r="Q177" s="3">
        <v>-40</v>
      </c>
      <c r="R177" s="14">
        <f t="shared" si="29"/>
        <v>1500</v>
      </c>
      <c r="S177">
        <f t="shared" si="31"/>
        <v>5</v>
      </c>
      <c r="T177" t="str">
        <f t="shared" si="32"/>
        <v>300:7</v>
      </c>
      <c r="U177" s="4">
        <f t="shared" si="30"/>
        <v>35</v>
      </c>
    </row>
    <row r="178" spans="1:21">
      <c r="A178">
        <v>177</v>
      </c>
      <c r="B178" t="s">
        <v>793</v>
      </c>
      <c r="C178">
        <v>83</v>
      </c>
      <c r="D178" t="s">
        <v>432</v>
      </c>
      <c r="E178" t="s">
        <v>791</v>
      </c>
      <c r="F178" t="s">
        <v>153</v>
      </c>
      <c r="G178" s="1">
        <v>1.2E-2</v>
      </c>
      <c r="H178" t="s">
        <v>794</v>
      </c>
      <c r="I178" t="s">
        <v>362</v>
      </c>
      <c r="J178" t="s">
        <v>256</v>
      </c>
      <c r="K178" s="3">
        <f t="shared" si="24"/>
        <v>3.0898876404494384</v>
      </c>
      <c r="L178" s="7">
        <f t="shared" si="25"/>
        <v>1.1000000000000001</v>
      </c>
      <c r="M178" s="9">
        <f t="shared" si="26"/>
        <v>35.6</v>
      </c>
      <c r="N178" s="3">
        <v>3.0898876404494384</v>
      </c>
      <c r="O178" s="3">
        <f t="shared" si="27"/>
        <v>-61.554545454545448</v>
      </c>
      <c r="P178" s="11">
        <f t="shared" si="28"/>
        <v>0.4229</v>
      </c>
      <c r="Q178" s="3">
        <v>-61.554545454545448</v>
      </c>
      <c r="R178" s="14">
        <f t="shared" si="29"/>
        <v>2200</v>
      </c>
      <c r="S178">
        <f t="shared" si="31"/>
        <v>5</v>
      </c>
      <c r="T178" t="str">
        <f t="shared" si="32"/>
        <v>440:7</v>
      </c>
      <c r="U178" s="4">
        <f t="shared" si="30"/>
        <v>35</v>
      </c>
    </row>
    <row r="179" spans="1:21">
      <c r="A179">
        <v>178</v>
      </c>
      <c r="B179" t="s">
        <v>795</v>
      </c>
      <c r="C179">
        <v>78</v>
      </c>
      <c r="D179" t="s">
        <v>535</v>
      </c>
      <c r="E179" t="s">
        <v>796</v>
      </c>
      <c r="F179" t="s">
        <v>556</v>
      </c>
      <c r="G179" s="1">
        <v>5.2299999999999999E-2</v>
      </c>
      <c r="H179" t="s">
        <v>114</v>
      </c>
      <c r="I179" t="s">
        <v>121</v>
      </c>
      <c r="J179" t="s">
        <v>797</v>
      </c>
      <c r="K179" s="3">
        <f t="shared" si="24"/>
        <v>7.323943661971831</v>
      </c>
      <c r="L179" s="7">
        <f t="shared" si="25"/>
        <v>2.6</v>
      </c>
      <c r="M179" s="9">
        <f t="shared" si="26"/>
        <v>35.5</v>
      </c>
      <c r="N179" s="3">
        <v>7.323943661971831</v>
      </c>
      <c r="O179" s="3">
        <f t="shared" si="27"/>
        <v>-30.76923076923077</v>
      </c>
      <c r="P179" s="11">
        <f t="shared" si="28"/>
        <v>1.8</v>
      </c>
      <c r="Q179" s="3">
        <v>-30.76923076923077</v>
      </c>
      <c r="R179" s="14">
        <f t="shared" si="29"/>
        <v>1600</v>
      </c>
      <c r="S179">
        <f t="shared" si="31"/>
        <v>5</v>
      </c>
      <c r="T179" t="str">
        <f t="shared" si="32"/>
        <v>320:7</v>
      </c>
      <c r="U179" s="4">
        <f t="shared" si="30"/>
        <v>35</v>
      </c>
    </row>
    <row r="180" spans="1:21">
      <c r="A180">
        <v>179</v>
      </c>
      <c r="B180" t="s">
        <v>798</v>
      </c>
      <c r="C180">
        <v>81</v>
      </c>
      <c r="D180" t="s">
        <v>73</v>
      </c>
      <c r="E180" t="s">
        <v>799</v>
      </c>
      <c r="F180" t="s">
        <v>153</v>
      </c>
      <c r="G180" s="1">
        <v>1.1900000000000001E-2</v>
      </c>
      <c r="H180" t="s">
        <v>800</v>
      </c>
      <c r="I180" t="s">
        <v>801</v>
      </c>
      <c r="J180" t="s">
        <v>23</v>
      </c>
      <c r="K180" s="3">
        <f t="shared" si="24"/>
        <v>3.107344632768362</v>
      </c>
      <c r="L180" s="7">
        <f t="shared" si="25"/>
        <v>1.1000000000000001</v>
      </c>
      <c r="M180" s="9">
        <f t="shared" si="26"/>
        <v>35.4</v>
      </c>
      <c r="N180" s="3">
        <v>3.107344632768362</v>
      </c>
      <c r="O180" s="3">
        <f t="shared" si="27"/>
        <v>-62.590909090909093</v>
      </c>
      <c r="P180" s="11">
        <f t="shared" si="28"/>
        <v>0.41149999999999998</v>
      </c>
      <c r="Q180" s="3">
        <v>-62.590909090909093</v>
      </c>
      <c r="R180" s="14">
        <f t="shared" si="29"/>
        <v>739.5</v>
      </c>
      <c r="S180">
        <f t="shared" si="31"/>
        <v>1</v>
      </c>
      <c r="T180" t="str">
        <f t="shared" si="32"/>
        <v>739.5:35</v>
      </c>
      <c r="U180" s="4">
        <f t="shared" si="30"/>
        <v>35</v>
      </c>
    </row>
    <row r="181" spans="1:21">
      <c r="A181">
        <v>180</v>
      </c>
      <c r="B181" t="s">
        <v>802</v>
      </c>
      <c r="C181">
        <v>76</v>
      </c>
      <c r="D181" t="s">
        <v>298</v>
      </c>
      <c r="E181" t="s">
        <v>803</v>
      </c>
      <c r="F181" t="s">
        <v>804</v>
      </c>
      <c r="G181" s="1">
        <v>2.0299999999999999E-2</v>
      </c>
      <c r="H181" t="s">
        <v>805</v>
      </c>
      <c r="I181" t="s">
        <v>806</v>
      </c>
      <c r="J181" t="s">
        <v>256</v>
      </c>
      <c r="K181" s="3">
        <f t="shared" si="24"/>
        <v>2.2674220963172806</v>
      </c>
      <c r="L181" s="7">
        <f t="shared" si="25"/>
        <v>0.8004</v>
      </c>
      <c r="M181" s="9">
        <f t="shared" si="26"/>
        <v>35.299999999999997</v>
      </c>
      <c r="N181" s="3">
        <v>2.2674220963172806</v>
      </c>
      <c r="O181" s="3">
        <f t="shared" si="27"/>
        <v>-16.979010494752625</v>
      </c>
      <c r="P181" s="11">
        <f t="shared" si="28"/>
        <v>0.66449999999999998</v>
      </c>
      <c r="Q181" s="3">
        <v>-16.979010494752625</v>
      </c>
      <c r="R181" s="14">
        <f t="shared" si="29"/>
        <v>810</v>
      </c>
      <c r="S181">
        <f t="shared" si="31"/>
        <v>5</v>
      </c>
      <c r="T181" t="str">
        <f t="shared" si="32"/>
        <v>162:7</v>
      </c>
      <c r="U181" s="4">
        <f t="shared" si="30"/>
        <v>35</v>
      </c>
    </row>
    <row r="182" spans="1:21">
      <c r="A182">
        <v>181</v>
      </c>
      <c r="B182" t="s">
        <v>807</v>
      </c>
      <c r="C182">
        <v>72</v>
      </c>
      <c r="D182" t="s">
        <v>112</v>
      </c>
      <c r="E182" t="s">
        <v>808</v>
      </c>
      <c r="F182" t="s">
        <v>809</v>
      </c>
      <c r="G182" s="1">
        <v>6.4999999999999997E-3</v>
      </c>
      <c r="H182" t="s">
        <v>810</v>
      </c>
      <c r="I182" t="s">
        <v>226</v>
      </c>
      <c r="J182" t="s">
        <v>127</v>
      </c>
      <c r="K182" s="3">
        <f t="shared" si="24"/>
        <v>1.2</v>
      </c>
      <c r="L182" s="7">
        <f t="shared" si="25"/>
        <v>0.42</v>
      </c>
      <c r="M182" s="9">
        <f t="shared" si="26"/>
        <v>35</v>
      </c>
      <c r="N182" s="3">
        <v>1.2</v>
      </c>
      <c r="O182" s="3">
        <f t="shared" si="27"/>
        <v>-46.928571428571423</v>
      </c>
      <c r="P182" s="11">
        <f t="shared" si="28"/>
        <v>0.22290000000000001</v>
      </c>
      <c r="Q182" s="3">
        <v>-46.928571428571423</v>
      </c>
      <c r="R182" s="14">
        <f t="shared" si="29"/>
        <v>1900</v>
      </c>
      <c r="S182">
        <f t="shared" si="31"/>
        <v>5</v>
      </c>
      <c r="T182" t="str">
        <f t="shared" si="32"/>
        <v>380:7</v>
      </c>
      <c r="U182" s="4">
        <f t="shared" si="30"/>
        <v>35</v>
      </c>
    </row>
    <row r="183" spans="1:21">
      <c r="A183">
        <v>182</v>
      </c>
      <c r="B183" t="s">
        <v>811</v>
      </c>
      <c r="C183">
        <v>84</v>
      </c>
      <c r="D183" t="s">
        <v>812</v>
      </c>
      <c r="E183" t="s">
        <v>813</v>
      </c>
      <c r="F183" t="s">
        <v>814</v>
      </c>
      <c r="G183" s="1">
        <v>3.5999999999999999E-3</v>
      </c>
      <c r="H183" t="s">
        <v>815</v>
      </c>
      <c r="I183" t="s">
        <v>300</v>
      </c>
      <c r="J183" t="s">
        <v>127</v>
      </c>
      <c r="K183" s="3">
        <f t="shared" si="24"/>
        <v>0.65057471264367828</v>
      </c>
      <c r="L183" s="7">
        <f t="shared" si="25"/>
        <v>0.22640000000000002</v>
      </c>
      <c r="M183" s="9">
        <f t="shared" si="26"/>
        <v>34.799999999999997</v>
      </c>
      <c r="N183" s="3">
        <v>0.65057471264367828</v>
      </c>
      <c r="O183" s="3">
        <f t="shared" si="27"/>
        <v>-46.510600706713781</v>
      </c>
      <c r="P183" s="11">
        <f t="shared" si="28"/>
        <v>0.1211</v>
      </c>
      <c r="Q183" s="3">
        <v>-46.510600706713781</v>
      </c>
      <c r="R183" s="14">
        <f t="shared" si="29"/>
        <v>1700</v>
      </c>
      <c r="S183">
        <f t="shared" si="31"/>
        <v>34</v>
      </c>
      <c r="T183" t="str">
        <f t="shared" si="32"/>
        <v>50:1</v>
      </c>
      <c r="U183" s="4">
        <f t="shared" si="30"/>
        <v>34</v>
      </c>
    </row>
    <row r="184" spans="1:21">
      <c r="A184">
        <v>183</v>
      </c>
      <c r="B184" t="s">
        <v>816</v>
      </c>
      <c r="C184">
        <v>83</v>
      </c>
      <c r="D184" t="s">
        <v>61</v>
      </c>
      <c r="E184" t="s">
        <v>813</v>
      </c>
      <c r="F184" t="s">
        <v>817</v>
      </c>
      <c r="G184" s="1">
        <v>1.6999999999999999E-3</v>
      </c>
      <c r="H184" t="s">
        <v>818</v>
      </c>
      <c r="I184" t="s">
        <v>819</v>
      </c>
      <c r="J184" t="s">
        <v>323</v>
      </c>
      <c r="K184" s="3">
        <f t="shared" si="24"/>
        <v>0.41781609195402308</v>
      </c>
      <c r="L184" s="7">
        <f t="shared" si="25"/>
        <v>0.1454</v>
      </c>
      <c r="M184" s="9">
        <f t="shared" si="26"/>
        <v>34.799999999999997</v>
      </c>
      <c r="N184" s="3">
        <v>0.41781609195402308</v>
      </c>
      <c r="O184" s="3">
        <f t="shared" si="27"/>
        <v>-59.697386519944985</v>
      </c>
      <c r="P184" s="11">
        <f t="shared" si="28"/>
        <v>5.8599999999999999E-2</v>
      </c>
      <c r="Q184" s="3">
        <v>-59.697386519944985</v>
      </c>
      <c r="R184" s="14">
        <f t="shared" si="29"/>
        <v>589.6</v>
      </c>
      <c r="S184">
        <f t="shared" si="31"/>
        <v>1</v>
      </c>
      <c r="T184" t="str">
        <f t="shared" si="32"/>
        <v>589.6:34</v>
      </c>
      <c r="U184" s="4">
        <f t="shared" si="30"/>
        <v>34</v>
      </c>
    </row>
    <row r="185" spans="1:21">
      <c r="A185">
        <v>184</v>
      </c>
      <c r="B185" t="s">
        <v>820</v>
      </c>
      <c r="C185">
        <v>83</v>
      </c>
      <c r="D185" t="s">
        <v>821</v>
      </c>
      <c r="E185" t="s">
        <v>822</v>
      </c>
      <c r="F185" t="s">
        <v>823</v>
      </c>
      <c r="G185" s="1">
        <v>1.6799999999999999E-2</v>
      </c>
      <c r="H185" t="s">
        <v>824</v>
      </c>
      <c r="I185" t="s">
        <v>825</v>
      </c>
      <c r="J185" t="s">
        <v>852</v>
      </c>
      <c r="K185" s="3">
        <f t="shared" si="24"/>
        <v>1.7210374639769452</v>
      </c>
      <c r="L185" s="7">
        <f t="shared" si="25"/>
        <v>0.59720000000000006</v>
      </c>
      <c r="M185" s="9">
        <f t="shared" si="26"/>
        <v>34.700000000000003</v>
      </c>
      <c r="N185" s="3">
        <v>1.7210374639769452</v>
      </c>
      <c r="O185" s="3">
        <f t="shared" si="27"/>
        <v>-10.666443402545225</v>
      </c>
      <c r="P185" s="11">
        <f t="shared" si="28"/>
        <v>0.53349999999999997</v>
      </c>
      <c r="Q185" s="3">
        <v>-10.666443402545225</v>
      </c>
      <c r="R185" s="14">
        <f t="shared" si="29"/>
        <v>561.29999999999995</v>
      </c>
      <c r="S185">
        <f t="shared" si="31"/>
        <v>17</v>
      </c>
      <c r="T185" t="str">
        <f t="shared" si="32"/>
        <v>33.0176470588235:2</v>
      </c>
      <c r="U185" s="4">
        <f t="shared" si="30"/>
        <v>34</v>
      </c>
    </row>
    <row r="186" spans="1:21">
      <c r="A186">
        <v>185</v>
      </c>
      <c r="B186" t="s">
        <v>826</v>
      </c>
      <c r="C186">
        <v>68</v>
      </c>
      <c r="D186" t="s">
        <v>240</v>
      </c>
      <c r="E186" t="s">
        <v>822</v>
      </c>
      <c r="F186" t="s">
        <v>69</v>
      </c>
      <c r="G186" s="1">
        <v>3.49E-2</v>
      </c>
      <c r="H186" t="s">
        <v>163</v>
      </c>
      <c r="I186" t="s">
        <v>251</v>
      </c>
      <c r="J186" t="s">
        <v>797</v>
      </c>
      <c r="K186" s="3">
        <f t="shared" si="24"/>
        <v>4.3227665706051868</v>
      </c>
      <c r="L186" s="7">
        <f t="shared" si="25"/>
        <v>1.5</v>
      </c>
      <c r="M186" s="9">
        <f t="shared" si="26"/>
        <v>34.700000000000003</v>
      </c>
      <c r="N186" s="3">
        <v>4.3227665706051868</v>
      </c>
      <c r="O186" s="3">
        <f t="shared" si="27"/>
        <v>-20.000000000000004</v>
      </c>
      <c r="P186" s="11">
        <f t="shared" si="28"/>
        <v>1.2</v>
      </c>
      <c r="Q186" s="3">
        <v>-20.000000000000004</v>
      </c>
      <c r="R186" s="14">
        <f t="shared" si="29"/>
        <v>2800</v>
      </c>
      <c r="S186">
        <f t="shared" si="31"/>
        <v>2</v>
      </c>
      <c r="T186" t="str">
        <f t="shared" si="32"/>
        <v>1400:17</v>
      </c>
      <c r="U186" s="4">
        <f t="shared" si="30"/>
        <v>34</v>
      </c>
    </row>
    <row r="187" spans="1:21">
      <c r="A187">
        <v>186</v>
      </c>
      <c r="B187" t="s">
        <v>827</v>
      </c>
      <c r="C187">
        <v>84</v>
      </c>
      <c r="D187" t="s">
        <v>425</v>
      </c>
      <c r="E187" t="s">
        <v>822</v>
      </c>
      <c r="F187" t="s">
        <v>828</v>
      </c>
      <c r="G187" s="1">
        <v>5.7000000000000002E-3</v>
      </c>
      <c r="H187" t="s">
        <v>829</v>
      </c>
      <c r="I187" t="s">
        <v>300</v>
      </c>
      <c r="J187" t="s">
        <v>127</v>
      </c>
      <c r="K187" s="3">
        <f t="shared" si="24"/>
        <v>1.0599423631123919</v>
      </c>
      <c r="L187" s="7">
        <f t="shared" si="25"/>
        <v>0.36780000000000002</v>
      </c>
      <c r="M187" s="9">
        <f t="shared" si="26"/>
        <v>34.700000000000003</v>
      </c>
      <c r="N187" s="3">
        <v>1.0599423631123919</v>
      </c>
      <c r="O187" s="3">
        <f t="shared" si="27"/>
        <v>-47.71615008156607</v>
      </c>
      <c r="P187" s="11">
        <f t="shared" si="28"/>
        <v>0.1923</v>
      </c>
      <c r="Q187" s="3">
        <v>-47.71615008156607</v>
      </c>
      <c r="R187" s="14">
        <f t="shared" si="29"/>
        <v>1700</v>
      </c>
      <c r="S187">
        <f t="shared" si="31"/>
        <v>34</v>
      </c>
      <c r="T187" t="str">
        <f t="shared" si="32"/>
        <v>50:1</v>
      </c>
      <c r="U187" s="4">
        <f t="shared" si="30"/>
        <v>34</v>
      </c>
    </row>
    <row r="188" spans="1:21">
      <c r="A188">
        <v>187</v>
      </c>
      <c r="B188" t="s">
        <v>830</v>
      </c>
      <c r="C188">
        <v>80</v>
      </c>
      <c r="D188" t="s">
        <v>755</v>
      </c>
      <c r="E188" t="s">
        <v>831</v>
      </c>
      <c r="F188" t="s">
        <v>148</v>
      </c>
      <c r="G188" s="1">
        <v>2.0000000000000001E-4</v>
      </c>
      <c r="H188">
        <v>0</v>
      </c>
      <c r="I188" t="s">
        <v>832</v>
      </c>
      <c r="J188" t="s">
        <v>23</v>
      </c>
      <c r="K188" s="3">
        <f t="shared" si="24"/>
        <v>8.9595375722543356</v>
      </c>
      <c r="L188" s="7">
        <f t="shared" si="25"/>
        <v>3.1</v>
      </c>
      <c r="M188" s="9">
        <f t="shared" si="26"/>
        <v>34.6</v>
      </c>
      <c r="N188" s="3">
        <v>8.9595375722543356</v>
      </c>
      <c r="O188" s="3">
        <f t="shared" si="27"/>
        <v>-100</v>
      </c>
      <c r="P188" s="11">
        <f t="shared" si="28"/>
        <v>0</v>
      </c>
      <c r="Q188" s="3">
        <v>-100</v>
      </c>
      <c r="R188" s="14">
        <f t="shared" si="29"/>
        <v>350.9</v>
      </c>
      <c r="S188">
        <f t="shared" si="31"/>
        <v>2</v>
      </c>
      <c r="T188" t="str">
        <f t="shared" si="32"/>
        <v>175.45:17</v>
      </c>
      <c r="U188" s="4">
        <f t="shared" si="30"/>
        <v>34</v>
      </c>
    </row>
    <row r="189" spans="1:21">
      <c r="A189">
        <v>188</v>
      </c>
      <c r="B189" t="s">
        <v>833</v>
      </c>
      <c r="C189">
        <v>83</v>
      </c>
      <c r="D189" t="s">
        <v>490</v>
      </c>
      <c r="E189" t="s">
        <v>834</v>
      </c>
      <c r="F189" t="s">
        <v>835</v>
      </c>
      <c r="G189" s="1">
        <v>2E-3</v>
      </c>
      <c r="H189" t="s">
        <v>836</v>
      </c>
      <c r="I189" t="s">
        <v>837</v>
      </c>
      <c r="J189" t="s">
        <v>852</v>
      </c>
      <c r="K189" s="3">
        <f t="shared" si="24"/>
        <v>0.39824561403508763</v>
      </c>
      <c r="L189" s="7">
        <f t="shared" si="25"/>
        <v>0.13619999999999999</v>
      </c>
      <c r="M189" s="9">
        <f t="shared" si="26"/>
        <v>34.200000000000003</v>
      </c>
      <c r="N189" s="3">
        <v>0.39824561403508763</v>
      </c>
      <c r="O189" s="3">
        <f t="shared" si="27"/>
        <v>-50.95447870778267</v>
      </c>
      <c r="P189" s="11">
        <f t="shared" si="28"/>
        <v>6.6799999999999998E-2</v>
      </c>
      <c r="Q189" s="3">
        <v>-50.95447870778267</v>
      </c>
      <c r="R189" s="14">
        <f t="shared" si="29"/>
        <v>21.2</v>
      </c>
      <c r="S189">
        <f t="shared" si="31"/>
        <v>1</v>
      </c>
      <c r="T189" t="str">
        <f t="shared" si="32"/>
        <v>21.2:34</v>
      </c>
      <c r="U189" s="4">
        <f t="shared" si="30"/>
        <v>34</v>
      </c>
    </row>
    <row r="190" spans="1:21">
      <c r="A190">
        <v>189</v>
      </c>
      <c r="B190" t="s">
        <v>838</v>
      </c>
      <c r="C190">
        <v>77</v>
      </c>
      <c r="D190" t="s">
        <v>180</v>
      </c>
      <c r="E190" t="s">
        <v>834</v>
      </c>
      <c r="F190" t="s">
        <v>839</v>
      </c>
      <c r="G190" s="1">
        <v>4.4000000000000003E-3</v>
      </c>
      <c r="H190" t="s">
        <v>840</v>
      </c>
      <c r="I190" t="s">
        <v>714</v>
      </c>
      <c r="J190" t="s">
        <v>23</v>
      </c>
      <c r="K190" s="3">
        <f t="shared" si="24"/>
        <v>0.54152046783625718</v>
      </c>
      <c r="L190" s="7">
        <f t="shared" si="25"/>
        <v>0.18519999999999998</v>
      </c>
      <c r="M190" s="9">
        <f t="shared" si="26"/>
        <v>34.200000000000003</v>
      </c>
      <c r="N190" s="3">
        <v>0.54152046783625718</v>
      </c>
      <c r="O190" s="3">
        <f t="shared" si="27"/>
        <v>-28.725701943844477</v>
      </c>
      <c r="P190" s="11">
        <f t="shared" si="28"/>
        <v>0.13200000000000001</v>
      </c>
      <c r="Q190" s="3">
        <v>-28.725701943844477</v>
      </c>
      <c r="R190" s="14">
        <f t="shared" si="29"/>
        <v>1400</v>
      </c>
      <c r="S190">
        <f t="shared" si="31"/>
        <v>2</v>
      </c>
      <c r="T190" t="str">
        <f t="shared" si="32"/>
        <v>700:17</v>
      </c>
      <c r="U190" s="4">
        <f t="shared" si="30"/>
        <v>34</v>
      </c>
    </row>
    <row r="191" spans="1:21">
      <c r="A191">
        <v>190</v>
      </c>
      <c r="B191" t="s">
        <v>841</v>
      </c>
      <c r="C191">
        <v>83</v>
      </c>
      <c r="D191" t="s">
        <v>842</v>
      </c>
      <c r="E191" t="s">
        <v>843</v>
      </c>
      <c r="F191" t="s">
        <v>844</v>
      </c>
      <c r="G191" s="1">
        <v>7.3000000000000001E-3</v>
      </c>
      <c r="H191" t="s">
        <v>845</v>
      </c>
      <c r="I191" t="s">
        <v>846</v>
      </c>
      <c r="J191" t="s">
        <v>23</v>
      </c>
      <c r="K191" s="3">
        <f t="shared" si="24"/>
        <v>2.1478005865102636</v>
      </c>
      <c r="L191" s="7">
        <f t="shared" si="25"/>
        <v>0.73239999999999994</v>
      </c>
      <c r="M191" s="9">
        <f t="shared" si="26"/>
        <v>34.1</v>
      </c>
      <c r="N191" s="3">
        <v>2.1478005865102636</v>
      </c>
      <c r="O191" s="3">
        <f t="shared" si="27"/>
        <v>-66.206990715456044</v>
      </c>
      <c r="P191" s="11">
        <f t="shared" si="28"/>
        <v>0.2475</v>
      </c>
      <c r="Q191" s="3">
        <v>-66.206990715456044</v>
      </c>
      <c r="R191" s="14">
        <f t="shared" si="29"/>
        <v>4600</v>
      </c>
      <c r="S191">
        <f t="shared" si="31"/>
        <v>2</v>
      </c>
      <c r="T191" t="str">
        <f t="shared" si="32"/>
        <v>2300:17</v>
      </c>
      <c r="U191" s="4">
        <f t="shared" si="30"/>
        <v>34</v>
      </c>
    </row>
    <row r="192" spans="1:21">
      <c r="A192">
        <v>191</v>
      </c>
      <c r="B192" t="s">
        <v>847</v>
      </c>
      <c r="C192">
        <v>79</v>
      </c>
      <c r="D192" t="s">
        <v>848</v>
      </c>
      <c r="E192" t="s">
        <v>849</v>
      </c>
      <c r="F192" t="s">
        <v>850</v>
      </c>
      <c r="G192" s="1">
        <v>2.3E-3</v>
      </c>
      <c r="H192" t="s">
        <v>851</v>
      </c>
      <c r="I192" t="s">
        <v>362</v>
      </c>
      <c r="J192" t="s">
        <v>852</v>
      </c>
      <c r="K192" s="3">
        <f t="shared" si="24"/>
        <v>0.6863501483679525</v>
      </c>
      <c r="L192" s="7">
        <f t="shared" si="25"/>
        <v>0.23130000000000001</v>
      </c>
      <c r="M192" s="9">
        <f t="shared" si="26"/>
        <v>33.700000000000003</v>
      </c>
      <c r="N192" s="3">
        <v>0.6863501483679525</v>
      </c>
      <c r="O192" s="3">
        <f t="shared" si="27"/>
        <v>-66.926070038910495</v>
      </c>
      <c r="P192" s="11">
        <f t="shared" si="28"/>
        <v>7.6499999999999999E-2</v>
      </c>
      <c r="Q192" s="3">
        <v>-66.926070038910495</v>
      </c>
      <c r="R192" s="14">
        <f t="shared" si="29"/>
        <v>2200</v>
      </c>
      <c r="S192">
        <f t="shared" si="31"/>
        <v>11</v>
      </c>
      <c r="T192" t="str">
        <f t="shared" si="32"/>
        <v>200:3</v>
      </c>
      <c r="U192" s="4">
        <f t="shared" si="30"/>
        <v>33</v>
      </c>
    </row>
    <row r="193" spans="1:21">
      <c r="A193">
        <v>192</v>
      </c>
      <c r="B193" t="s">
        <v>853</v>
      </c>
      <c r="C193">
        <v>84</v>
      </c>
      <c r="D193" t="s">
        <v>102</v>
      </c>
      <c r="E193" t="s">
        <v>854</v>
      </c>
      <c r="F193" t="s">
        <v>58</v>
      </c>
      <c r="G193" s="1">
        <v>3.5799999999999998E-2</v>
      </c>
      <c r="H193" t="s">
        <v>163</v>
      </c>
      <c r="I193" t="s">
        <v>251</v>
      </c>
      <c r="J193" t="s">
        <v>71</v>
      </c>
      <c r="K193" s="3">
        <f t="shared" si="24"/>
        <v>5.9523809523809517</v>
      </c>
      <c r="L193" s="7">
        <f t="shared" si="25"/>
        <v>2</v>
      </c>
      <c r="M193" s="9">
        <f t="shared" si="26"/>
        <v>33.6</v>
      </c>
      <c r="N193" s="3">
        <v>5.9523809523809517</v>
      </c>
      <c r="O193" s="3">
        <f t="shared" si="27"/>
        <v>-40</v>
      </c>
      <c r="P193" s="11">
        <f t="shared" si="28"/>
        <v>1.2</v>
      </c>
      <c r="Q193" s="3">
        <v>-40</v>
      </c>
      <c r="R193" s="14">
        <f t="shared" si="29"/>
        <v>2800</v>
      </c>
      <c r="S193">
        <f t="shared" si="31"/>
        <v>1</v>
      </c>
      <c r="T193" t="str">
        <f t="shared" si="32"/>
        <v>2800:33</v>
      </c>
      <c r="U193" s="4">
        <f t="shared" si="30"/>
        <v>33</v>
      </c>
    </row>
    <row r="194" spans="1:21">
      <c r="A194">
        <v>193</v>
      </c>
      <c r="B194" t="s">
        <v>855</v>
      </c>
      <c r="C194">
        <v>63</v>
      </c>
      <c r="D194" t="s">
        <v>683</v>
      </c>
      <c r="E194" t="s">
        <v>856</v>
      </c>
      <c r="F194" t="s">
        <v>857</v>
      </c>
      <c r="G194" s="1">
        <v>6.7000000000000002E-3</v>
      </c>
      <c r="H194" t="s">
        <v>858</v>
      </c>
      <c r="I194" t="s">
        <v>859</v>
      </c>
      <c r="J194" t="s">
        <v>860</v>
      </c>
      <c r="K194" s="3">
        <f t="shared" si="24"/>
        <v>2.0450746268656719</v>
      </c>
      <c r="L194" s="7">
        <f t="shared" si="25"/>
        <v>0.68510000000000004</v>
      </c>
      <c r="M194" s="9">
        <f t="shared" si="26"/>
        <v>33.5</v>
      </c>
      <c r="N194" s="3">
        <v>2.0450746268656719</v>
      </c>
      <c r="O194" s="3">
        <f t="shared" si="27"/>
        <v>-67.785724711720917</v>
      </c>
      <c r="P194" s="11">
        <f t="shared" si="28"/>
        <v>0.22069999999999998</v>
      </c>
      <c r="Q194" s="3">
        <v>-67.785724711720917</v>
      </c>
      <c r="R194" s="14">
        <f t="shared" si="29"/>
        <v>3100</v>
      </c>
      <c r="S194">
        <f t="shared" ref="S194:S225" si="33">GCD(U194,R194)</f>
        <v>1</v>
      </c>
      <c r="T194" t="str">
        <f t="shared" ref="T194:T225" si="34">R194/S194&amp;":"&amp;U194/S194</f>
        <v>3100:33</v>
      </c>
      <c r="U194" s="4">
        <f t="shared" si="30"/>
        <v>33</v>
      </c>
    </row>
    <row r="195" spans="1:21">
      <c r="A195">
        <v>194</v>
      </c>
      <c r="B195" t="s">
        <v>861</v>
      </c>
      <c r="C195">
        <v>41</v>
      </c>
      <c r="D195" t="s">
        <v>862</v>
      </c>
      <c r="E195" t="s">
        <v>856</v>
      </c>
      <c r="F195" t="s">
        <v>153</v>
      </c>
      <c r="G195" s="1">
        <v>1.61E-2</v>
      </c>
      <c r="H195" t="s">
        <v>863</v>
      </c>
      <c r="I195" t="s">
        <v>864</v>
      </c>
      <c r="J195" t="s">
        <v>349</v>
      </c>
      <c r="K195" s="3">
        <f t="shared" ref="K195:K201" si="35">(L195/M195)*100</f>
        <v>3.2835820895522394</v>
      </c>
      <c r="L195" s="7">
        <f t="shared" ref="L195:L201" si="36">IF(RIGHT(F195,1)="k",VALUE(LEFT(F195,LEN(F195)-1))/1000,IF(RIGHT(F195,1)="m",VALUE(LEFT(F195,LEN(F195)-1)),F195))</f>
        <v>1.1000000000000001</v>
      </c>
      <c r="M195" s="9">
        <f t="shared" ref="M195:M201" si="37">IF(RIGHT(E195,1)="k",VALUE(LEFT(E195,LEN(E195)-1))/1000,IF(RIGHT(E195,1)="m",VALUE(LEFT(E195,LEN(E195)-1)),E195))</f>
        <v>33.5</v>
      </c>
      <c r="N195" s="3">
        <v>3.2835820895522394</v>
      </c>
      <c r="O195" s="3">
        <f t="shared" ref="O195:O201" si="38">(P195-L195)/L195*100</f>
        <v>-51.572727272727271</v>
      </c>
      <c r="P195" s="11">
        <f t="shared" ref="P195:P201" si="39">IF(RIGHT(H195,1)="k",VALUE(LEFT(H195,LEN(H195)-1))/1000,IF(RIGHT(H195,1)="m",VALUE(LEFT(H195,LEN(H195)-1)),H195))</f>
        <v>0.53270000000000006</v>
      </c>
      <c r="Q195" s="3">
        <v>-51.572727272727271</v>
      </c>
      <c r="R195" s="14">
        <f t="shared" ref="R195:R201" si="40">IF(RIGHT(I195,1)="b",VALUE(LEFT(I195,LEN(I195)-1))*1000,IF(RIGHT(I195,1)="m",VALUE(LEFT(I195,LEN(I195)-1)),I195))</f>
        <v>391.9</v>
      </c>
      <c r="S195">
        <f t="shared" si="33"/>
        <v>1</v>
      </c>
      <c r="T195" t="str">
        <f t="shared" si="34"/>
        <v>391.9:33</v>
      </c>
      <c r="U195" s="4">
        <f t="shared" ref="U195:U201" si="41">FLOOR(M195,1)</f>
        <v>33</v>
      </c>
    </row>
    <row r="196" spans="1:21">
      <c r="A196">
        <v>195</v>
      </c>
      <c r="B196" t="s">
        <v>865</v>
      </c>
      <c r="C196">
        <v>75</v>
      </c>
      <c r="D196" t="s">
        <v>157</v>
      </c>
      <c r="E196" t="s">
        <v>866</v>
      </c>
      <c r="F196" t="s">
        <v>867</v>
      </c>
      <c r="G196" s="1">
        <v>6.3E-3</v>
      </c>
      <c r="H196" t="s">
        <v>868</v>
      </c>
      <c r="I196" t="s">
        <v>94</v>
      </c>
      <c r="J196" t="s">
        <v>256</v>
      </c>
      <c r="K196" s="3">
        <f t="shared" si="35"/>
        <v>0.79489489489489495</v>
      </c>
      <c r="L196" s="7">
        <f t="shared" si="36"/>
        <v>0.26469999999999999</v>
      </c>
      <c r="M196" s="9">
        <f t="shared" si="37"/>
        <v>33.299999999999997</v>
      </c>
      <c r="N196" s="3">
        <v>0.79489489489489495</v>
      </c>
      <c r="O196" s="3">
        <f t="shared" si="38"/>
        <v>-20.96713260294673</v>
      </c>
      <c r="P196" s="11">
        <f t="shared" si="39"/>
        <v>0.2092</v>
      </c>
      <c r="Q196" s="3">
        <v>-20.96713260294673</v>
      </c>
      <c r="R196" s="14">
        <f t="shared" si="40"/>
        <v>1300</v>
      </c>
      <c r="S196">
        <f t="shared" si="33"/>
        <v>1</v>
      </c>
      <c r="T196" t="str">
        <f t="shared" si="34"/>
        <v>1300:33</v>
      </c>
      <c r="U196" s="4">
        <f t="shared" si="41"/>
        <v>33</v>
      </c>
    </row>
    <row r="197" spans="1:21">
      <c r="A197">
        <v>196</v>
      </c>
      <c r="B197" t="s">
        <v>869</v>
      </c>
      <c r="C197">
        <v>71</v>
      </c>
      <c r="D197" t="s">
        <v>161</v>
      </c>
      <c r="E197" t="s">
        <v>870</v>
      </c>
      <c r="F197" t="s">
        <v>871</v>
      </c>
      <c r="G197" s="1">
        <v>1.4E-2</v>
      </c>
      <c r="H197" t="s">
        <v>872</v>
      </c>
      <c r="I197" t="s">
        <v>714</v>
      </c>
      <c r="J197" t="s">
        <v>23</v>
      </c>
      <c r="K197" s="3">
        <f t="shared" si="35"/>
        <v>1.8789156626506018</v>
      </c>
      <c r="L197" s="7">
        <f t="shared" si="36"/>
        <v>0.62379999999999991</v>
      </c>
      <c r="M197" s="9">
        <f t="shared" si="37"/>
        <v>33.200000000000003</v>
      </c>
      <c r="N197" s="3">
        <v>1.8789156626506018</v>
      </c>
      <c r="O197" s="3">
        <f t="shared" si="38"/>
        <v>-25.504969541519706</v>
      </c>
      <c r="P197" s="11">
        <f t="shared" si="39"/>
        <v>0.4647</v>
      </c>
      <c r="Q197" s="3">
        <v>-25.504969541519706</v>
      </c>
      <c r="R197" s="14">
        <f t="shared" si="40"/>
        <v>1400</v>
      </c>
      <c r="S197">
        <f t="shared" si="33"/>
        <v>1</v>
      </c>
      <c r="T197" t="str">
        <f t="shared" si="34"/>
        <v>1400:33</v>
      </c>
      <c r="U197" s="4">
        <f t="shared" si="41"/>
        <v>33</v>
      </c>
    </row>
    <row r="198" spans="1:21">
      <c r="A198">
        <v>197</v>
      </c>
      <c r="B198" t="s">
        <v>873</v>
      </c>
      <c r="C198">
        <v>81</v>
      </c>
      <c r="D198" t="s">
        <v>874</v>
      </c>
      <c r="E198" t="s">
        <v>870</v>
      </c>
      <c r="F198" t="s">
        <v>875</v>
      </c>
      <c r="G198" s="1">
        <v>6.4000000000000003E-3</v>
      </c>
      <c r="H198" t="s">
        <v>876</v>
      </c>
      <c r="I198" t="s">
        <v>132</v>
      </c>
      <c r="J198" t="s">
        <v>349</v>
      </c>
      <c r="K198" s="3">
        <f t="shared" si="35"/>
        <v>1.1759036144578312</v>
      </c>
      <c r="L198" s="7">
        <f t="shared" si="36"/>
        <v>0.39039999999999997</v>
      </c>
      <c r="M198" s="9">
        <f t="shared" si="37"/>
        <v>33.200000000000003</v>
      </c>
      <c r="N198" s="3">
        <v>1.1759036144578312</v>
      </c>
      <c r="O198" s="3">
        <f t="shared" si="38"/>
        <v>-46.721311475409834</v>
      </c>
      <c r="P198" s="11">
        <f t="shared" si="39"/>
        <v>0.20799999999999999</v>
      </c>
      <c r="Q198" s="3">
        <v>-46.721311475409834</v>
      </c>
      <c r="R198" s="14">
        <f t="shared" si="40"/>
        <v>1500</v>
      </c>
      <c r="S198">
        <f t="shared" si="33"/>
        <v>3</v>
      </c>
      <c r="T198" t="str">
        <f t="shared" si="34"/>
        <v>500:11</v>
      </c>
      <c r="U198" s="4">
        <f t="shared" si="41"/>
        <v>33</v>
      </c>
    </row>
    <row r="199" spans="1:21">
      <c r="A199">
        <v>198</v>
      </c>
      <c r="B199" t="s">
        <v>877</v>
      </c>
      <c r="C199">
        <v>79</v>
      </c>
      <c r="D199" t="s">
        <v>878</v>
      </c>
      <c r="E199" t="s">
        <v>870</v>
      </c>
      <c r="F199" t="s">
        <v>879</v>
      </c>
      <c r="G199" s="1">
        <v>2.5999999999999999E-3</v>
      </c>
      <c r="H199" t="s">
        <v>880</v>
      </c>
      <c r="I199" t="s">
        <v>881</v>
      </c>
      <c r="J199" t="s">
        <v>127</v>
      </c>
      <c r="K199" s="3">
        <f t="shared" si="35"/>
        <v>0.58222891566265056</v>
      </c>
      <c r="L199" s="7">
        <f t="shared" si="36"/>
        <v>0.1933</v>
      </c>
      <c r="M199" s="9">
        <f t="shared" si="37"/>
        <v>33.200000000000003</v>
      </c>
      <c r="N199" s="3">
        <v>0.58222891566265056</v>
      </c>
      <c r="O199" s="3">
        <f t="shared" si="38"/>
        <v>-57.26849456802897</v>
      </c>
      <c r="P199" s="11">
        <f t="shared" si="39"/>
        <v>8.2599999999999993E-2</v>
      </c>
      <c r="Q199" s="3">
        <v>-57.26849456802897</v>
      </c>
      <c r="R199" s="14">
        <f t="shared" si="40"/>
        <v>149.19999999999999</v>
      </c>
      <c r="S199">
        <f t="shared" si="33"/>
        <v>1</v>
      </c>
      <c r="T199" t="str">
        <f t="shared" si="34"/>
        <v>149.2:33</v>
      </c>
      <c r="U199" s="4">
        <f t="shared" si="41"/>
        <v>33</v>
      </c>
    </row>
    <row r="200" spans="1:21">
      <c r="A200">
        <v>199</v>
      </c>
      <c r="B200" t="s">
        <v>882</v>
      </c>
      <c r="C200">
        <v>78</v>
      </c>
      <c r="D200" t="s">
        <v>161</v>
      </c>
      <c r="E200" t="s">
        <v>883</v>
      </c>
      <c r="F200" t="s">
        <v>884</v>
      </c>
      <c r="G200" s="1">
        <v>1.4200000000000001E-2</v>
      </c>
      <c r="H200" t="s">
        <v>885</v>
      </c>
      <c r="I200" t="s">
        <v>300</v>
      </c>
      <c r="J200" t="s">
        <v>23</v>
      </c>
      <c r="K200" s="3">
        <f t="shared" si="35"/>
        <v>2.1806060606060607</v>
      </c>
      <c r="L200" s="7">
        <f t="shared" si="36"/>
        <v>0.71960000000000002</v>
      </c>
      <c r="M200" s="9">
        <f t="shared" si="37"/>
        <v>33</v>
      </c>
      <c r="N200" s="3">
        <v>2.1806060606060607</v>
      </c>
      <c r="O200" s="3">
        <f t="shared" si="38"/>
        <v>-35.005558643690939</v>
      </c>
      <c r="P200" s="11">
        <f t="shared" si="39"/>
        <v>0.4677</v>
      </c>
      <c r="Q200" s="3">
        <v>-35.005558643690939</v>
      </c>
      <c r="R200" s="14">
        <f t="shared" si="40"/>
        <v>1700</v>
      </c>
      <c r="S200">
        <f t="shared" si="33"/>
        <v>1</v>
      </c>
      <c r="T200" t="str">
        <f t="shared" si="34"/>
        <v>1700:33</v>
      </c>
      <c r="U200" s="4">
        <f t="shared" si="41"/>
        <v>33</v>
      </c>
    </row>
    <row r="201" spans="1:21">
      <c r="A201">
        <v>200</v>
      </c>
      <c r="B201" t="s">
        <v>886</v>
      </c>
      <c r="C201">
        <v>80</v>
      </c>
      <c r="D201" t="s">
        <v>539</v>
      </c>
      <c r="E201" t="s">
        <v>887</v>
      </c>
      <c r="F201" t="s">
        <v>888</v>
      </c>
      <c r="G201" s="1">
        <v>3.0000000000000001E-3</v>
      </c>
      <c r="H201" t="s">
        <v>889</v>
      </c>
      <c r="I201" t="s">
        <v>890</v>
      </c>
      <c r="J201" t="s">
        <v>323</v>
      </c>
      <c r="K201" s="3">
        <f t="shared" si="35"/>
        <v>0.70792682926829276</v>
      </c>
      <c r="L201" s="7">
        <f t="shared" si="36"/>
        <v>0.23219999999999999</v>
      </c>
      <c r="M201" s="9">
        <f t="shared" si="37"/>
        <v>32.799999999999997</v>
      </c>
      <c r="N201" s="3">
        <v>0.70792682926829276</v>
      </c>
      <c r="O201" s="3">
        <f t="shared" si="38"/>
        <v>-58.053402239448751</v>
      </c>
      <c r="P201" s="11">
        <f t="shared" si="39"/>
        <v>9.74E-2</v>
      </c>
      <c r="Q201" s="3">
        <v>-58.053402239448751</v>
      </c>
      <c r="R201" s="14">
        <f t="shared" si="40"/>
        <v>969.1</v>
      </c>
      <c r="S201">
        <f t="shared" si="33"/>
        <v>1</v>
      </c>
      <c r="T201" t="str">
        <f t="shared" si="34"/>
        <v>969.1:32</v>
      </c>
      <c r="U201" s="4">
        <f t="shared" si="41"/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top_insta_influencers_data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FRRO</dc:creator>
  <cp:lastModifiedBy>FRRO</cp:lastModifiedBy>
  <dcterms:created xsi:type="dcterms:W3CDTF">2026-01-30T16:43:04Z</dcterms:created>
  <dcterms:modified xsi:type="dcterms:W3CDTF">2026-02-18T06:09:08Z</dcterms:modified>
</cp:coreProperties>
</file>